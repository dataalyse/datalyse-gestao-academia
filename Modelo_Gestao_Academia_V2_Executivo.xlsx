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aojn\Downloads\"/>
    </mc:Choice>
  </mc:AlternateContent>
  <bookViews>
    <workbookView xWindow="0" yWindow="0" windowWidth="28800" windowHeight="12180" activeTab="3"/>
  </bookViews>
  <sheets>
    <sheet name="Leia-me" sheetId="1" r:id="rId1"/>
    <sheet name="Premissas" sheetId="2" r:id="rId2"/>
    <sheet name="Alunos" sheetId="3" r:id="rId3"/>
    <sheet name="Turmas" sheetId="4" r:id="rId4"/>
    <sheet name="Receitas" sheetId="5" r:id="rId5"/>
    <sheet name="Despesas" sheetId="6" r:id="rId6"/>
    <sheet name="Leads" sheetId="7" r:id="rId7"/>
    <sheet name="DRE_12M" sheetId="8" r:id="rId8"/>
    <sheet name="Fluxo_Caixa_12M" sheetId="9" r:id="rId9"/>
    <sheet name="Indicadores" sheetId="10" r:id="rId10"/>
    <sheet name="Margem_Modalidades" sheetId="11" r:id="rId11"/>
    <sheet name="Ocupacao_Horarios" sheetId="12" r:id="rId12"/>
    <sheet name="Churn_Cancelamentos" sheetId="13" r:id="rId13"/>
    <sheet name="Projecao_Faturamento" sheetId="14" r:id="rId14"/>
    <sheet name="Dashboard_Executivo" sheetId="15" r:id="rId15"/>
  </sheets>
  <calcPr calcId="162913"/>
</workbook>
</file>

<file path=xl/calcChain.xml><?xml version="1.0" encoding="utf-8"?>
<calcChain xmlns="http://schemas.openxmlformats.org/spreadsheetml/2006/main">
  <c r="B3" i="13" l="1"/>
  <c r="F3" i="13" s="1"/>
  <c r="G3" i="13" s="1"/>
  <c r="G2" i="13"/>
  <c r="F2" i="13"/>
  <c r="E2" i="13"/>
  <c r="D9" i="12"/>
  <c r="F9" i="12" s="1"/>
  <c r="D8" i="12"/>
  <c r="F8" i="12" s="1"/>
  <c r="D7" i="12"/>
  <c r="F7" i="12" s="1"/>
  <c r="D6" i="12"/>
  <c r="F6" i="12" s="1"/>
  <c r="D5" i="12"/>
  <c r="F5" i="12" s="1"/>
  <c r="F4" i="12"/>
  <c r="D4" i="12"/>
  <c r="D3" i="12"/>
  <c r="F3" i="12" s="1"/>
  <c r="D2" i="12"/>
  <c r="F2" i="12" s="1"/>
  <c r="D7" i="11"/>
  <c r="C7" i="11"/>
  <c r="E7" i="11" s="1"/>
  <c r="F7" i="11" s="1"/>
  <c r="B7" i="11"/>
  <c r="D6" i="11"/>
  <c r="C6" i="11"/>
  <c r="E6" i="11" s="1"/>
  <c r="F6" i="11" s="1"/>
  <c r="B6" i="11"/>
  <c r="D5" i="11"/>
  <c r="C5" i="11"/>
  <c r="E5" i="11" s="1"/>
  <c r="F5" i="11" s="1"/>
  <c r="B5" i="11"/>
  <c r="F4" i="11"/>
  <c r="E4" i="11"/>
  <c r="D4" i="11"/>
  <c r="C4" i="11"/>
  <c r="B4" i="11"/>
  <c r="F3" i="11"/>
  <c r="E3" i="11"/>
  <c r="D3" i="11"/>
  <c r="C3" i="11"/>
  <c r="B3" i="11"/>
  <c r="D2" i="11"/>
  <c r="C2" i="11"/>
  <c r="E2" i="11" s="1"/>
  <c r="F2" i="11" s="1"/>
  <c r="B2" i="11"/>
  <c r="B11" i="10"/>
  <c r="C4" i="15" s="1"/>
  <c r="B9" i="10"/>
  <c r="I4" i="15" s="1"/>
  <c r="B7" i="10"/>
  <c r="G7" i="15" s="1"/>
  <c r="B6" i="10"/>
  <c r="B8" i="10" s="1"/>
  <c r="I7" i="15" s="1"/>
  <c r="B4" i="10"/>
  <c r="K7" i="15" s="1"/>
  <c r="B2" i="10"/>
  <c r="B5" i="10" s="1"/>
  <c r="G4" i="15" s="1"/>
  <c r="B2" i="9"/>
  <c r="M7" i="8"/>
  <c r="L7" i="8"/>
  <c r="K7" i="8"/>
  <c r="J7" i="8"/>
  <c r="I7" i="8"/>
  <c r="H7" i="8"/>
  <c r="G7" i="8"/>
  <c r="F7" i="8"/>
  <c r="E7" i="8"/>
  <c r="D7" i="8"/>
  <c r="C7" i="8"/>
  <c r="B7" i="8"/>
  <c r="B2" i="8"/>
  <c r="C2" i="8" s="1"/>
  <c r="K12" i="4"/>
  <c r="L12" i="4" s="1"/>
  <c r="I12" i="4"/>
  <c r="K11" i="4"/>
  <c r="L11" i="4" s="1"/>
  <c r="I11" i="4"/>
  <c r="K10" i="4"/>
  <c r="L10" i="4" s="1"/>
  <c r="I10" i="4"/>
  <c r="K9" i="4"/>
  <c r="L9" i="4" s="1"/>
  <c r="I9" i="4"/>
  <c r="K8" i="4"/>
  <c r="L8" i="4" s="1"/>
  <c r="I8" i="4"/>
  <c r="K7" i="4"/>
  <c r="L7" i="4" s="1"/>
  <c r="I7" i="4"/>
  <c r="K6" i="4"/>
  <c r="L6" i="4" s="1"/>
  <c r="I6" i="4"/>
  <c r="K5" i="4"/>
  <c r="L5" i="4" s="1"/>
  <c r="I5" i="4"/>
  <c r="K4" i="4"/>
  <c r="L4" i="4" s="1"/>
  <c r="I4" i="4"/>
  <c r="K3" i="4"/>
  <c r="L3" i="4" s="1"/>
  <c r="I3" i="4"/>
  <c r="K2" i="4"/>
  <c r="L2" i="4" s="1"/>
  <c r="I2" i="4"/>
  <c r="B14" i="10" s="1"/>
  <c r="E7" i="15" s="1"/>
  <c r="D2" i="8" l="1"/>
  <c r="C3" i="8"/>
  <c r="C4" i="8" s="1"/>
  <c r="B2" i="14"/>
  <c r="A4" i="15"/>
  <c r="B3" i="8"/>
  <c r="B4" i="8" s="1"/>
  <c r="B3" i="10"/>
  <c r="E3" i="13"/>
  <c r="B4" i="13" s="1"/>
  <c r="B3" i="9" l="1"/>
  <c r="B6" i="8"/>
  <c r="B5" i="8"/>
  <c r="B4" i="9" s="1"/>
  <c r="C3" i="9"/>
  <c r="C5" i="8"/>
  <c r="C4" i="9" s="1"/>
  <c r="F4" i="13"/>
  <c r="G4" i="13" s="1"/>
  <c r="E4" i="13"/>
  <c r="B5" i="13" s="1"/>
  <c r="B10" i="10"/>
  <c r="K4" i="15" s="1"/>
  <c r="C13" i="14"/>
  <c r="C10" i="14"/>
  <c r="C7" i="14"/>
  <c r="C4" i="14"/>
  <c r="C12" i="14"/>
  <c r="C9" i="14"/>
  <c r="C6" i="14"/>
  <c r="C3" i="14"/>
  <c r="E4" i="15"/>
  <c r="C11" i="14"/>
  <c r="C8" i="14"/>
  <c r="C5" i="14"/>
  <c r="C2" i="14"/>
  <c r="B3" i="14"/>
  <c r="D2" i="14"/>
  <c r="E2" i="14" s="1"/>
  <c r="E2" i="8"/>
  <c r="D3" i="8"/>
  <c r="D4" i="8" s="1"/>
  <c r="D3" i="9" l="1"/>
  <c r="D5" i="8"/>
  <c r="D4" i="9" s="1"/>
  <c r="F5" i="13"/>
  <c r="G5" i="13" s="1"/>
  <c r="E5" i="13"/>
  <c r="B6" i="13" s="1"/>
  <c r="B4" i="14"/>
  <c r="D3" i="14"/>
  <c r="E3" i="14" s="1"/>
  <c r="C6" i="8"/>
  <c r="C8" i="8" s="1"/>
  <c r="C9" i="8" s="1"/>
  <c r="C5" i="9"/>
  <c r="B8" i="8"/>
  <c r="B9" i="8" s="1"/>
  <c r="B12" i="10"/>
  <c r="F2" i="8"/>
  <c r="E3" i="8"/>
  <c r="E4" i="8" s="1"/>
  <c r="B5" i="9"/>
  <c r="B6" i="9" s="1"/>
  <c r="C2" i="9" s="1"/>
  <c r="E3" i="9" l="1"/>
  <c r="E5" i="8"/>
  <c r="E4" i="9" s="1"/>
  <c r="A7" i="15"/>
  <c r="B13" i="10"/>
  <c r="C7" i="15" s="1"/>
  <c r="D4" i="14"/>
  <c r="E4" i="14" s="1"/>
  <c r="B5" i="14"/>
  <c r="F6" i="13"/>
  <c r="G6" i="13" s="1"/>
  <c r="E6" i="13"/>
  <c r="B7" i="13" s="1"/>
  <c r="C6" i="9"/>
  <c r="D2" i="9" s="1"/>
  <c r="D6" i="9" s="1"/>
  <c r="E2" i="9" s="1"/>
  <c r="D6" i="8"/>
  <c r="D8" i="8" s="1"/>
  <c r="D9" i="8" s="1"/>
  <c r="G2" i="8"/>
  <c r="F3" i="8"/>
  <c r="F4" i="8" s="1"/>
  <c r="D5" i="9"/>
  <c r="F3" i="9" l="1"/>
  <c r="F5" i="9" s="1"/>
  <c r="F5" i="8"/>
  <c r="F4" i="9" s="1"/>
  <c r="E6" i="9"/>
  <c r="F2" i="9" s="1"/>
  <c r="B6" i="14"/>
  <c r="D5" i="14"/>
  <c r="E5" i="14" s="1"/>
  <c r="E6" i="8"/>
  <c r="E8" i="8" s="1"/>
  <c r="E9" i="8" s="1"/>
  <c r="F7" i="13"/>
  <c r="G7" i="13" s="1"/>
  <c r="E7" i="13"/>
  <c r="B8" i="13" s="1"/>
  <c r="H2" i="8"/>
  <c r="G4" i="8"/>
  <c r="G3" i="8"/>
  <c r="E5" i="9"/>
  <c r="F8" i="13" l="1"/>
  <c r="G8" i="13" s="1"/>
  <c r="E8" i="13"/>
  <c r="B9" i="13" s="1"/>
  <c r="G3" i="9"/>
  <c r="G5" i="8"/>
  <c r="G4" i="9" s="1"/>
  <c r="B7" i="14"/>
  <c r="D6" i="14"/>
  <c r="E6" i="14" s="1"/>
  <c r="I2" i="8"/>
  <c r="H3" i="8"/>
  <c r="H4" i="8" s="1"/>
  <c r="F6" i="9"/>
  <c r="G2" i="9" s="1"/>
  <c r="F6" i="8"/>
  <c r="F8" i="8" s="1"/>
  <c r="F9" i="8" s="1"/>
  <c r="H3" i="9" l="1"/>
  <c r="H5" i="8"/>
  <c r="H4" i="9" s="1"/>
  <c r="F9" i="13"/>
  <c r="G9" i="13" s="1"/>
  <c r="E9" i="13"/>
  <c r="B10" i="13" s="1"/>
  <c r="G6" i="9"/>
  <c r="H2" i="9" s="1"/>
  <c r="D7" i="14"/>
  <c r="E7" i="14" s="1"/>
  <c r="B8" i="14"/>
  <c r="J2" i="8"/>
  <c r="I3" i="8"/>
  <c r="I4" i="8" s="1"/>
  <c r="G6" i="8"/>
  <c r="G8" i="8" s="1"/>
  <c r="G9" i="8" s="1"/>
  <c r="G5" i="9"/>
  <c r="I5" i="8" l="1"/>
  <c r="I4" i="9" s="1"/>
  <c r="I3" i="9"/>
  <c r="I5" i="9" s="1"/>
  <c r="K2" i="8"/>
  <c r="J3" i="8"/>
  <c r="J4" i="8" s="1"/>
  <c r="F10" i="13"/>
  <c r="G10" i="13" s="1"/>
  <c r="E10" i="13"/>
  <c r="B11" i="13" s="1"/>
  <c r="H6" i="8"/>
  <c r="H8" i="8" s="1"/>
  <c r="H9" i="8" s="1"/>
  <c r="B9" i="14"/>
  <c r="D8" i="14"/>
  <c r="E8" i="14" s="1"/>
  <c r="H5" i="9"/>
  <c r="H6" i="9" s="1"/>
  <c r="I2" i="9" s="1"/>
  <c r="I6" i="9" s="1"/>
  <c r="J2" i="9" s="1"/>
  <c r="J5" i="8" l="1"/>
  <c r="J4" i="9" s="1"/>
  <c r="J3" i="9"/>
  <c r="B10" i="14"/>
  <c r="D9" i="14"/>
  <c r="E9" i="14" s="1"/>
  <c r="F11" i="13"/>
  <c r="G11" i="13" s="1"/>
  <c r="E11" i="13"/>
  <c r="B12" i="13" s="1"/>
  <c r="K3" i="8"/>
  <c r="K4" i="8" s="1"/>
  <c r="L2" i="8"/>
  <c r="I6" i="8"/>
  <c r="I8" i="8" s="1"/>
  <c r="I9" i="8" s="1"/>
  <c r="K3" i="9" l="1"/>
  <c r="K5" i="8"/>
  <c r="K4" i="9" s="1"/>
  <c r="F12" i="13"/>
  <c r="G12" i="13" s="1"/>
  <c r="E12" i="13"/>
  <c r="B13" i="13" s="1"/>
  <c r="M2" i="8"/>
  <c r="L3" i="8"/>
  <c r="L4" i="8" s="1"/>
  <c r="D10" i="14"/>
  <c r="E10" i="14" s="1"/>
  <c r="B11" i="14"/>
  <c r="J5" i="9"/>
  <c r="J6" i="9" s="1"/>
  <c r="K2" i="9" s="1"/>
  <c r="J6" i="8"/>
  <c r="J8" i="8" s="1"/>
  <c r="J9" i="8" s="1"/>
  <c r="L3" i="9" l="1"/>
  <c r="L5" i="8"/>
  <c r="L4" i="9" s="1"/>
  <c r="F13" i="13"/>
  <c r="G13" i="13" s="1"/>
  <c r="E13" i="13"/>
  <c r="M3" i="8"/>
  <c r="M4" i="8"/>
  <c r="K6" i="9"/>
  <c r="L2" i="9" s="1"/>
  <c r="B12" i="14"/>
  <c r="D11" i="14"/>
  <c r="E11" i="14" s="1"/>
  <c r="K6" i="8"/>
  <c r="K8" i="8" s="1"/>
  <c r="K9" i="8" s="1"/>
  <c r="K5" i="9"/>
  <c r="B13" i="14" l="1"/>
  <c r="D13" i="14" s="1"/>
  <c r="D12" i="14"/>
  <c r="E12" i="14" s="1"/>
  <c r="E13" i="14" s="1"/>
  <c r="L5" i="9"/>
  <c r="L6" i="9" s="1"/>
  <c r="M2" i="9" s="1"/>
  <c r="M6" i="9" s="1"/>
  <c r="M5" i="8"/>
  <c r="M4" i="9" s="1"/>
  <c r="M3" i="9"/>
  <c r="M5" i="9" s="1"/>
  <c r="L6" i="8"/>
  <c r="L8" i="8" s="1"/>
  <c r="L9" i="8" s="1"/>
  <c r="M6" i="8" l="1"/>
  <c r="M8" i="8" s="1"/>
  <c r="M9" i="8" s="1"/>
</calcChain>
</file>

<file path=xl/sharedStrings.xml><?xml version="1.0" encoding="utf-8"?>
<sst xmlns="http://schemas.openxmlformats.org/spreadsheetml/2006/main" count="451" uniqueCount="263">
  <si>
    <t>MODELO DE GESTÃO DE ACADEMIA – V2 EXECUTIVO</t>
  </si>
  <si>
    <t>Objetivo: apoiar gestão operacional, financeira, comercial e apresentação executiva.</t>
  </si>
  <si>
    <t>Substitua os exemplos pelos dados reais. As abas de premissas alimentam os indicadores e projeções.</t>
  </si>
  <si>
    <t>Fluxo recomendado: Premissas → Operação/Alunos → Receitas/Despesas → Indicadores → Dashboard.</t>
  </si>
  <si>
    <t>Importante: CAC e LTV são indicadores gerenciais estimados; ajuste as premissas conforme seus dados reais.</t>
  </si>
  <si>
    <t>PARÂMETRO</t>
  </si>
  <si>
    <t>VALOR</t>
  </si>
  <si>
    <t>UNIDADE</t>
  </si>
  <si>
    <t>OBSERVAÇÃO</t>
  </si>
  <si>
    <t>Mensalidade média musculação</t>
  </si>
  <si>
    <t>R$/mês</t>
  </si>
  <si>
    <t>Exemplo editável</t>
  </si>
  <si>
    <t>Mensalidade média lutas</t>
  </si>
  <si>
    <t>Mensalidade média balé</t>
  </si>
  <si>
    <t>Taxa média de recebimento</t>
  </si>
  <si>
    <t>%</t>
  </si>
  <si>
    <t>Receita efetivamente recebida</t>
  </si>
  <si>
    <t>Churn mensal estimado</t>
  </si>
  <si>
    <t>Cancelamentos / base inicial</t>
  </si>
  <si>
    <t>CAC estimado</t>
  </si>
  <si>
    <t>R$/aluno</t>
  </si>
  <si>
    <t>Custo comercial por novo aluno</t>
  </si>
  <si>
    <t>Margem de contribuição média</t>
  </si>
  <si>
    <t>Após custos variáveis</t>
  </si>
  <si>
    <t>Crescimento mensal projetado</t>
  </si>
  <si>
    <t>Para projeção de faturamento</t>
  </si>
  <si>
    <t>Custos fixos mensais</t>
  </si>
  <si>
    <t>Base inicial</t>
  </si>
  <si>
    <t>Meta de alunos ativos</t>
  </si>
  <si>
    <t>alunos</t>
  </si>
  <si>
    <t>Meta gerencial</t>
  </si>
  <si>
    <t>Dias de funcionamento/mês</t>
  </si>
  <si>
    <t>dias</t>
  </si>
  <si>
    <t>Premissa operacional</t>
  </si>
  <si>
    <t>ID</t>
  </si>
  <si>
    <t>Nome</t>
  </si>
  <si>
    <t>Modalidade</t>
  </si>
  <si>
    <t>Plano</t>
  </si>
  <si>
    <t>Data Matrícula</t>
  </si>
  <si>
    <t>Mensalidade</t>
  </si>
  <si>
    <t>Status</t>
  </si>
  <si>
    <t>Data Cancelamento</t>
  </si>
  <si>
    <t>Origem</t>
  </si>
  <si>
    <t>Observação</t>
  </si>
  <si>
    <t>Aluno 001</t>
  </si>
  <si>
    <t>Musculação</t>
  </si>
  <si>
    <t>Mensal</t>
  </si>
  <si>
    <t>01/09/2026</t>
  </si>
  <si>
    <t>Ativo</t>
  </si>
  <si>
    <t>Instagram</t>
  </si>
  <si>
    <t>Aluno 002</t>
  </si>
  <si>
    <t>Jiu-jítsu</t>
  </si>
  <si>
    <t>Combate</t>
  </si>
  <si>
    <t>03/09/2026</t>
  </si>
  <si>
    <t>Google</t>
  </si>
  <si>
    <t>Aluno 003</t>
  </si>
  <si>
    <t>Muay Thai</t>
  </si>
  <si>
    <t>Multitreino</t>
  </si>
  <si>
    <t>05/09/2026</t>
  </si>
  <si>
    <t>Indicação</t>
  </si>
  <si>
    <t>Aluno 004</t>
  </si>
  <si>
    <t>Balé</t>
  </si>
  <si>
    <t>06/09/2026</t>
  </si>
  <si>
    <t>Aluno 005</t>
  </si>
  <si>
    <t>Capoeira</t>
  </si>
  <si>
    <t>10/09/2026</t>
  </si>
  <si>
    <t>Cancelado</t>
  </si>
  <si>
    <t>15/09/2026</t>
  </si>
  <si>
    <t>Aluno 006</t>
  </si>
  <si>
    <t>12/09/2026</t>
  </si>
  <si>
    <t>Código</t>
  </si>
  <si>
    <t>Dia</t>
  </si>
  <si>
    <t>Horário</t>
  </si>
  <si>
    <t>Professor</t>
  </si>
  <si>
    <t>Capacidade</t>
  </si>
  <si>
    <t>Matriculados</t>
  </si>
  <si>
    <t>Presença Média</t>
  </si>
  <si>
    <t>Ocupação %</t>
  </si>
  <si>
    <t>Custo Mensal</t>
  </si>
  <si>
    <t>Receita Potencial</t>
  </si>
  <si>
    <t>Margem Estimada</t>
  </si>
  <si>
    <t>MUS06</t>
  </si>
  <si>
    <t>Seg-Sáb</t>
  </si>
  <si>
    <t>06-08h</t>
  </si>
  <si>
    <t>Equipe</t>
  </si>
  <si>
    <t>MUS08</t>
  </si>
  <si>
    <t>08-10h</t>
  </si>
  <si>
    <t>MUS18</t>
  </si>
  <si>
    <t>18-20h</t>
  </si>
  <si>
    <t>JJ19</t>
  </si>
  <si>
    <t>Seg</t>
  </si>
  <si>
    <t>19h</t>
  </si>
  <si>
    <t>Prof. A</t>
  </si>
  <si>
    <t>JJ20</t>
  </si>
  <si>
    <t>Qua</t>
  </si>
  <si>
    <t>JJ21</t>
  </si>
  <si>
    <t>Sex</t>
  </si>
  <si>
    <t>MT20</t>
  </si>
  <si>
    <t>Ter</t>
  </si>
  <si>
    <t>20h</t>
  </si>
  <si>
    <t>Prof. B</t>
  </si>
  <si>
    <t>MT20Q</t>
  </si>
  <si>
    <t>Qui</t>
  </si>
  <si>
    <t>CP18</t>
  </si>
  <si>
    <t>18h</t>
  </si>
  <si>
    <t>Prof. C</t>
  </si>
  <si>
    <t>KAR19</t>
  </si>
  <si>
    <t>Karatê</t>
  </si>
  <si>
    <t>Prof. D</t>
  </si>
  <si>
    <t>BAL10</t>
  </si>
  <si>
    <t>Sáb</t>
  </si>
  <si>
    <t>10h</t>
  </si>
  <si>
    <t>Prof. E</t>
  </si>
  <si>
    <t>Data</t>
  </si>
  <si>
    <t>ID Aluno</t>
  </si>
  <si>
    <t>Cliente</t>
  </si>
  <si>
    <t>Tipo</t>
  </si>
  <si>
    <t>Valor Previsto</t>
  </si>
  <si>
    <t>Valor Recebido</t>
  </si>
  <si>
    <t>Forma Pagamento</t>
  </si>
  <si>
    <t>Mês</t>
  </si>
  <si>
    <t>PIX</t>
  </si>
  <si>
    <t>Pago</t>
  </si>
  <si>
    <t>09/2026</t>
  </si>
  <si>
    <t>Cartão</t>
  </si>
  <si>
    <t>07/09/2026</t>
  </si>
  <si>
    <t>Boleto</t>
  </si>
  <si>
    <t>Pendente</t>
  </si>
  <si>
    <t>Diversas</t>
  </si>
  <si>
    <t>Produtos</t>
  </si>
  <si>
    <t>Categoria</t>
  </si>
  <si>
    <t>Descrição</t>
  </si>
  <si>
    <t>Fixa/Variável</t>
  </si>
  <si>
    <t>Centro Custo</t>
  </si>
  <si>
    <t>Valor</t>
  </si>
  <si>
    <t>Pago?</t>
  </si>
  <si>
    <t>Pessoal</t>
  </si>
  <si>
    <t>Professores</t>
  </si>
  <si>
    <t>Variável</t>
  </si>
  <si>
    <t>Operação</t>
  </si>
  <si>
    <t>Sim</t>
  </si>
  <si>
    <t>Aluguel</t>
  </si>
  <si>
    <t>Espaço</t>
  </si>
  <si>
    <t>Fixa</t>
  </si>
  <si>
    <t>Administrativo</t>
  </si>
  <si>
    <t>Energia</t>
  </si>
  <si>
    <t>Energia elétrica</t>
  </si>
  <si>
    <t>Estrutura</t>
  </si>
  <si>
    <t>Marketing</t>
  </si>
  <si>
    <t>Anúncios</t>
  </si>
  <si>
    <t>Comercial</t>
  </si>
  <si>
    <t>Manutenção</t>
  </si>
  <si>
    <t>Equipamentos</t>
  </si>
  <si>
    <t>Não</t>
  </si>
  <si>
    <t>08/09/2026</t>
  </si>
  <si>
    <t>Sistema</t>
  </si>
  <si>
    <t>Software gestão</t>
  </si>
  <si>
    <t>Limpeza</t>
  </si>
  <si>
    <t>Materiais</t>
  </si>
  <si>
    <t>Interesse</t>
  </si>
  <si>
    <t>Experimental</t>
  </si>
  <si>
    <t>Compareceu</t>
  </si>
  <si>
    <t>Matriculou</t>
  </si>
  <si>
    <t>Valor Plano</t>
  </si>
  <si>
    <t>CAC</t>
  </si>
  <si>
    <t>Lead 001</t>
  </si>
  <si>
    <t>Matriculado</t>
  </si>
  <si>
    <t>02/09/2026</t>
  </si>
  <si>
    <t>Lead 002</t>
  </si>
  <si>
    <t>Não convertido</t>
  </si>
  <si>
    <t>Lead 003</t>
  </si>
  <si>
    <t>04/09/2026</t>
  </si>
  <si>
    <t>Lead 004</t>
  </si>
  <si>
    <t>Sem comparecimento</t>
  </si>
  <si>
    <t>Lead 005</t>
  </si>
  <si>
    <t>Facebook</t>
  </si>
  <si>
    <t>DRE GERENCIAL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</si>
  <si>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</si>
  <si>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</si>
  <si>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</si>
  <si>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</si>
  <si>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</si>
  <si>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</si>
  <si>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</si>
  <si>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</si>
  <si>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</si>
  <si>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</si>
  <si>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</si>
  <si>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</si>
  <si>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Receita Bruta</t>
  </si>
  <si>
    <t>(-) Inadimplência/Descontos</t>
  </si>
  <si>
    <t>Receita Líquida</t>
  </si>
  <si>
    <t>(-) Custos Variáveis</t>
  </si>
  <si>
    <t>Margem de Contribuição</t>
  </si>
  <si>
    <t>(-) Custos Fixos</t>
  </si>
  <si>
    <t>Resultado Operacional</t>
  </si>
  <si>
    <t>Margem Operacional</t>
  </si>
  <si>
    <t>FLUXO DE CAIXA</t>
  </si>
  <si>
    <t>Saldo Inicial</t>
  </si>
  <si>
    <t>Entradas</t>
  </si>
  <si>
    <t>Saídas</t>
  </si>
  <si>
    <t>Fluxo Líquido</t>
  </si>
  <si>
    <t>Saldo Final</t>
  </si>
  <si>
    <t>INDICADOR</t>
  </si>
  <si>
    <t>FÓRMULA/INTERPRETAÇÃO</t>
  </si>
  <si>
    <t>Alunos ativos</t>
  </si>
  <si>
    <t>Base atual</t>
  </si>
  <si>
    <t>Ticket médio</t>
  </si>
  <si>
    <t>Receita média por aluno</t>
  </si>
  <si>
    <t>Cancelamentos</t>
  </si>
  <si>
    <t>Período cadastrado</t>
  </si>
  <si>
    <t>Churn</t>
  </si>
  <si>
    <t>Cancelamentos / base inicial aproximada</t>
  </si>
  <si>
    <t>Leads</t>
  </si>
  <si>
    <t>Total de leads</t>
  </si>
  <si>
    <t>Novos alunos</t>
  </si>
  <si>
    <t>Conversões</t>
  </si>
  <si>
    <t>Conversão de leads</t>
  </si>
  <si>
    <t>Novos alunos / leads</t>
  </si>
  <si>
    <t>CAC real</t>
  </si>
  <si>
    <t>Marketing/comercial por novo aluno</t>
  </si>
  <si>
    <t>LTV estimado</t>
  </si>
  <si>
    <t>Ticket × margem / churn</t>
  </si>
  <si>
    <t>Receita mensal atual</t>
  </si>
  <si>
    <t>Receita recebida</t>
  </si>
  <si>
    <t>Margem contribuição média</t>
  </si>
  <si>
    <t>Margem após variáveis</t>
  </si>
  <si>
    <t>Ponto de equilíbrio</t>
  </si>
  <si>
    <t>Receita necessária para cobrir custos fixos</t>
  </si>
  <si>
    <t>Ocupação média das turmas</t>
  </si>
  <si>
    <t>Capacidade ocupada</t>
  </si>
  <si>
    <t>Alunos</t>
  </si>
  <si>
    <t>Receita Estimada</t>
  </si>
  <si>
    <t>Custos Diretos</t>
  </si>
  <si>
    <t>Margem Contribuição</t>
  </si>
  <si>
    <t>Margem %</t>
  </si>
  <si>
    <t>10-12h</t>
  </si>
  <si>
    <t>12-14h</t>
  </si>
  <si>
    <t>14-16h</t>
  </si>
  <si>
    <t>16-18h</t>
  </si>
  <si>
    <t>20-22h</t>
  </si>
  <si>
    <t>Base Inicial</t>
  </si>
  <si>
    <t>Novos Alunos</t>
  </si>
  <si>
    <t>Base Final</t>
  </si>
  <si>
    <t>Churn %</t>
  </si>
  <si>
    <t>Retenção %</t>
  </si>
  <si>
    <t>Alunos Projetados</t>
  </si>
  <si>
    <t>Ticket Médio</t>
  </si>
  <si>
    <t>Faturamento Projetado</t>
  </si>
  <si>
    <t>Faturamento Acumulado</t>
  </si>
  <si>
    <t>DASHBOARD EXECUTIVO – ACADEMIA</t>
  </si>
  <si>
    <t>ALUNOS ATIVOS</t>
  </si>
  <si>
    <t>RECEITA ATUAL</t>
  </si>
  <si>
    <t>TICKET MÉDIO</t>
  </si>
  <si>
    <t>CHURN</t>
  </si>
  <si>
    <t>LTV ESTIMADO</t>
  </si>
  <si>
    <t>MARGEM CONTRIB.</t>
  </si>
  <si>
    <t>PONTO DE EQUILÍBRIO</t>
  </si>
  <si>
    <t>OCUPAÇÃO MÉDIA</t>
  </si>
  <si>
    <t>NOVOS ALUNOS</t>
  </si>
  <si>
    <t>CONVERSÃO</t>
  </si>
  <si>
    <t>CANCELAMENTOS</t>
  </si>
  <si>
    <t>DRE – Resultado 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</si>
</sst>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\R\$\ #,##0.00"/>
    <numFmt numFmtId="166" formatCode="\R\$\ #,##0"/>
  </numFmts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b/>
      <sz val="20"/>
      <color rgb="FFFFFFFF"/>
      <name val="Calibri"/>
    </font>
    <font>
      <b/>
      <sz val="15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166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Receita x Resultado Operacional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DRE_12M!$B$1:$M$1</c:f>
              <c:strCache>
                <c:ptCount val="12"/>
                <c:pt idx="0">
                  <c:v>Mês 1</c:v>
                </c:pt>
                <c:pt idx="1">
                  <c:v>Mês 2</c:v>
                </c:pt>
                <c:pt idx="2">
                  <c:v>Mês 3</c:v>
                </c:pt>
                <c:pt idx="3">
                  <c:v>Mês 4</c:v>
                </c:pt>
                <c:pt idx="4">
                  <c:v>Mês 5</c:v>
                </c:pt>
                <c:pt idx="5">
                  <c:v>Mês 6</c:v>
                </c:pt>
                <c:pt idx="6">
                  <c:v>Mês 7</c:v>
                </c:pt>
                <c:pt idx="7">
                  <c:v>Mês 8</c:v>
                </c:pt>
                <c:pt idx="8">
                  <c:v>Mês 9</c:v>
                </c:pt>
                <c:pt idx="9">
                  <c:v>Mês 10</c:v>
                </c:pt>
                <c:pt idx="10">
                  <c:v>Mês 11</c:v>
                </c:pt>
                <c:pt idx="11">
                  <c:v>Mês 12</c:v>
                </c:pt>
              </c:strCache>
            </c:strRef>
          </c:cat>
          <c:val>
            <c:numRef>
              <c:f>DRE_12M!$B$2:$M$2</c:f>
              <c:numCache>
                <c:formatCode>\R\$\ #,##0</c:formatCode>
                <c:ptCount val="12"/>
                <c:pt idx="0">
                  <c:v>1200</c:v>
                </c:pt>
                <c:pt idx="1">
                  <c:v>1236</c:v>
                </c:pt>
                <c:pt idx="2">
                  <c:v>1273.08</c:v>
                </c:pt>
                <c:pt idx="3">
                  <c:v>1311.2724000000001</c:v>
                </c:pt>
                <c:pt idx="4">
                  <c:v>1350.610572</c:v>
                </c:pt>
                <c:pt idx="5">
                  <c:v>1391.12888916</c:v>
                </c:pt>
                <c:pt idx="6">
                  <c:v>1432.8627558348001</c:v>
                </c:pt>
                <c:pt idx="7">
                  <c:v>1475.848638509844</c:v>
                </c:pt>
                <c:pt idx="8">
                  <c:v>1520.1240976651393</c:v>
                </c:pt>
                <c:pt idx="9">
                  <c:v>1565.7278205950936</c:v>
                </c:pt>
                <c:pt idx="10">
                  <c:v>1612.6996552129465</c:v>
                </c:pt>
                <c:pt idx="11">
                  <c:v>1661.0806448693349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82-4282-BC4C-03A219ACF798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DRE_12M!$B$1:$M$1</c:f>
              <c:strCache>
                <c:ptCount val="12"/>
                <c:pt idx="0">
                  <c:v>Mês 1</c:v>
                </c:pt>
                <c:pt idx="1">
                  <c:v>Mês 2</c:v>
                </c:pt>
                <c:pt idx="2">
                  <c:v>Mês 3</c:v>
                </c:pt>
                <c:pt idx="3">
                  <c:v>Mês 4</c:v>
                </c:pt>
                <c:pt idx="4">
                  <c:v>Mês 5</c:v>
                </c:pt>
                <c:pt idx="5">
                  <c:v>Mês 6</c:v>
                </c:pt>
                <c:pt idx="6">
                  <c:v>Mês 7</c:v>
                </c:pt>
                <c:pt idx="7">
                  <c:v>Mês 8</c:v>
                </c:pt>
                <c:pt idx="8">
                  <c:v>Mês 9</c:v>
                </c:pt>
                <c:pt idx="9">
                  <c:v>Mês 10</c:v>
                </c:pt>
                <c:pt idx="10">
                  <c:v>Mês 11</c:v>
                </c:pt>
                <c:pt idx="11">
                  <c:v>Mês 12</c:v>
                </c:pt>
              </c:strCache>
            </c:strRef>
          </c:cat>
          <c:val>
            <c:numRef>
              <c:f>DRE_12M!$B$8:$M$8</c:f>
              <c:numCache>
                <c:formatCode>\R\$\ #,##0</c:formatCode>
                <c:ptCount val="12"/>
                <c:pt idx="0">
                  <c:v>-17243.400000000001</c:v>
                </c:pt>
                <c:pt idx="1">
                  <c:v>-17220.702000000001</c:v>
                </c:pt>
                <c:pt idx="2">
                  <c:v>-17197.323059999999</c:v>
                </c:pt>
                <c:pt idx="3">
                  <c:v>-17173.2427518</c:v>
                </c:pt>
                <c:pt idx="4">
                  <c:v>-17148.440034354</c:v>
                </c:pt>
                <c:pt idx="5">
                  <c:v>-17122.893235384621</c:v>
                </c:pt>
                <c:pt idx="6">
                  <c:v>-17096.58003244616</c:v>
                </c:pt>
                <c:pt idx="7">
                  <c:v>-17069.477433419543</c:v>
                </c:pt>
                <c:pt idx="8">
                  <c:v>-17041.561756422128</c:v>
                </c:pt>
                <c:pt idx="9">
                  <c:v>-17012.808609114792</c:v>
                </c:pt>
                <c:pt idx="10">
                  <c:v>-16983.192867388236</c:v>
                </c:pt>
                <c:pt idx="11">
                  <c:v>-16952.688653409885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82-4282-BC4C-03A219ACF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Período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R$</a:t>
                </a:r>
              </a:p>
            </c:rich>
          </c:tx>
          <c:overlay val="1"/>
        </c:title>
        <c:numFmt formatCode="\R\$\ 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Margem de contribuição por modalidade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Margem_Modalidades!$E$1</c:f>
              <c:strCache>
                <c:ptCount val="1"/>
                <c:pt idx="0">
                  <c:v>Margem Contribuição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Margem_Modalidades!$A$2:$A$7</c:f>
              <c:strCache>
                <c:ptCount val="6"/>
                <c:pt idx="0">
                  <c:v>Musculação</c:v>
                </c:pt>
                <c:pt idx="1">
                  <c:v>Jiu-jítsu</c:v>
                </c:pt>
                <c:pt idx="2">
                  <c:v>Muay Thai</c:v>
                </c:pt>
                <c:pt idx="3">
                  <c:v>Capoeira</c:v>
                </c:pt>
                <c:pt idx="4">
                  <c:v>Karatê</c:v>
                </c:pt>
                <c:pt idx="5">
                  <c:v>Balé</c:v>
                </c:pt>
              </c:strCache>
            </c:strRef>
          </c:cat>
          <c:val>
            <c:numRef>
              <c:f>Margem_Modalidades!$E$2:$E$7</c:f>
              <c:numCache>
                <c:formatCode>\R\$\ #,##0</c:formatCode>
                <c:ptCount val="6"/>
                <c:pt idx="0">
                  <c:v>-13200</c:v>
                </c:pt>
                <c:pt idx="1">
                  <c:v>-1250</c:v>
                </c:pt>
                <c:pt idx="2">
                  <c:v>-740</c:v>
                </c:pt>
                <c:pt idx="3">
                  <c:v>-270</c:v>
                </c:pt>
                <c:pt idx="4">
                  <c:v>-240</c:v>
                </c:pt>
                <c:pt idx="5">
                  <c:v>-100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F-4545-A6C6-A6213F608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R$</a:t>
                </a:r>
              </a:p>
            </c:rich>
          </c:tx>
          <c:overlay val="1"/>
        </c:title>
        <c:numFmt formatCode="\R\$\ 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Projeção de faturamento – 12 meses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Projecao_Faturamento!$D$1</c:f>
              <c:strCache>
                <c:ptCount val="1"/>
                <c:pt idx="0">
                  <c:v>Faturamento Projetado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Projecao_Faturamento!$A$2:$A$13</c:f>
              <c:strCache>
                <c:ptCount val="12"/>
                <c:pt idx="0">
                  <c:v>Mês 1</c:v>
                </c:pt>
                <c:pt idx="1">
                  <c:v>Mês 2</c:v>
                </c:pt>
                <c:pt idx="2">
                  <c:v>Mês 3</c:v>
                </c:pt>
                <c:pt idx="3">
                  <c:v>Mês 4</c:v>
                </c:pt>
                <c:pt idx="4">
                  <c:v>Mês 5</c:v>
                </c:pt>
                <c:pt idx="5">
                  <c:v>Mês 6</c:v>
                </c:pt>
                <c:pt idx="6">
                  <c:v>Mês 7</c:v>
                </c:pt>
                <c:pt idx="7">
                  <c:v>Mês 8</c:v>
                </c:pt>
                <c:pt idx="8">
                  <c:v>Mês 9</c:v>
                </c:pt>
                <c:pt idx="9">
                  <c:v>Mês 10</c:v>
                </c:pt>
                <c:pt idx="10">
                  <c:v>Mês 11</c:v>
                </c:pt>
                <c:pt idx="11">
                  <c:v>Mês 12</c:v>
                </c:pt>
              </c:strCache>
            </c:strRef>
          </c:cat>
          <c:val>
            <c:numRef>
              <c:f>Projecao_Faturamento!$D$2:$D$13</c:f>
              <c:numCache>
                <c:formatCode>\R\$\ #,##0</c:formatCode>
                <c:ptCount val="12"/>
                <c:pt idx="0">
                  <c:v>980</c:v>
                </c:pt>
                <c:pt idx="1">
                  <c:v>1009.4000000000001</c:v>
                </c:pt>
                <c:pt idx="2">
                  <c:v>1039.6820000000002</c:v>
                </c:pt>
                <c:pt idx="3">
                  <c:v>1070.8724600000003</c:v>
                </c:pt>
                <c:pt idx="4">
                  <c:v>1102.9986338000001</c:v>
                </c:pt>
                <c:pt idx="5">
                  <c:v>1136.0885928140001</c:v>
                </c:pt>
                <c:pt idx="6">
                  <c:v>1170.1712505984203</c:v>
                </c:pt>
                <c:pt idx="7">
                  <c:v>1205.276388116373</c:v>
                </c:pt>
                <c:pt idx="8">
                  <c:v>1241.4346797598641</c:v>
                </c:pt>
                <c:pt idx="9">
                  <c:v>1278.67772015266</c:v>
                </c:pt>
                <c:pt idx="10">
                  <c:v>1317.0380517572398</c:v>
                </c:pt>
                <c:pt idx="11">
                  <c:v>1356.549193309957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456-493E-BDF3-F93F7BCBB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R$</a:t>
                </a:r>
              </a:p>
            </c:rich>
          </c:tx>
          <c:overlay val="1"/>
        </c:title>
        <c:numFmt formatCode="\R\$\ 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Ocupação por horário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Ocupacao_Horarios!$D$1</c:f>
              <c:strCache>
                <c:ptCount val="1"/>
                <c:pt idx="0">
                  <c:v>Ocupação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Ocupacao_Horarios!$A$2:$A$9</c:f>
              <c:strCache>
                <c:ptCount val="8"/>
                <c:pt idx="0">
                  <c:v>06-08h</c:v>
                </c:pt>
                <c:pt idx="1">
                  <c:v>08-10h</c:v>
                </c:pt>
                <c:pt idx="2">
                  <c:v>10-12h</c:v>
                </c:pt>
                <c:pt idx="3">
                  <c:v>12-14h</c:v>
                </c:pt>
                <c:pt idx="4">
                  <c:v>14-16h</c:v>
                </c:pt>
                <c:pt idx="5">
                  <c:v>16-18h</c:v>
                </c:pt>
                <c:pt idx="6">
                  <c:v>18-20h</c:v>
                </c:pt>
                <c:pt idx="7">
                  <c:v>20-22h</c:v>
                </c:pt>
              </c:strCache>
            </c:strRef>
          </c:cat>
          <c:val>
            <c:numRef>
              <c:f>Ocupacao_Horarios!$D$2:$D$9</c:f>
              <c:numCache>
                <c:formatCode>0%</c:formatCode>
                <c:ptCount val="8"/>
                <c:pt idx="0">
                  <c:v>0.875</c:v>
                </c:pt>
                <c:pt idx="1">
                  <c:v>0.75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0.9285714285714286</c:v>
                </c:pt>
                <c:pt idx="7">
                  <c:v>0.82499999999999996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E-4645-B613-7E04C9944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%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468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10</xdr:row>
      <xdr:rowOff>0</xdr:rowOff>
    </xdr:from>
    <xdr:ext cx="4680000" cy="25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26</xdr:row>
      <xdr:rowOff>0</xdr:rowOff>
    </xdr:from>
    <xdr:ext cx="4680000" cy="252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26</xdr:row>
      <xdr:rowOff>0</xdr:rowOff>
    </xdr:from>
    <xdr:ext cx="4680000" cy="252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tbPremissas" displayName="tbPremissas" ref="A1:D12">
  <autoFilter ref="A1:D12"/>
  <tableColumns count="4">
    <tableColumn id="1" name="PARÂMETRO"/>
    <tableColumn id="2" name="VALOR"/>
    <tableColumn id="3" name="UNIDADE"/>
    <tableColumn id="4" name="OBSERV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lunos" displayName="tbAlunos" ref="A1:J7">
  <autoFilter ref="A1:J7"/>
  <tableColumns count="10">
    <tableColumn id="1" name="ID"/>
    <tableColumn id="2" name="Nome"/>
    <tableColumn id="3" name="Modalidade"/>
    <tableColumn id="4" name="Plano"/>
    <tableColumn id="5" name="Data Matrícula"/>
    <tableColumn id="6" name="Mensalidade"/>
    <tableColumn id="7" name="Status"/>
    <tableColumn id="8" name="Data Cancelamento"/>
    <tableColumn id="9" name="Origem"/>
    <tableColumn id="10" name="Observ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Turmas" displayName="tbTurmas" ref="A1:L12">
  <autoFilter ref="A1:L12"/>
  <tableColumns count="12">
    <tableColumn id="1" name="Código"/>
    <tableColumn id="2" name="Modalidade"/>
    <tableColumn id="3" name="Dia"/>
    <tableColumn id="4" name="Horário"/>
    <tableColumn id="5" name="Professor"/>
    <tableColumn id="6" name="Capacidade"/>
    <tableColumn id="7" name="Matriculados"/>
    <tableColumn id="8" name="Presença Média"/>
    <tableColumn id="9" name="Ocupação %"/>
    <tableColumn id="10" name="Custo Mensal"/>
    <tableColumn id="11" name="Receita Potencial"/>
    <tableColumn id="12" name="Margem Estimad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Receitas" displayName="tbReceitas" ref="A1:J6">
  <autoFilter ref="A1:J6"/>
  <tableColumns count="10">
    <tableColumn id="1" name="Data"/>
    <tableColumn id="2" name="ID Aluno"/>
    <tableColumn id="3" name="Cliente"/>
    <tableColumn id="4" name="Modalidade"/>
    <tableColumn id="5" name="Tipo"/>
    <tableColumn id="6" name="Valor Previsto"/>
    <tableColumn id="7" name="Valor Recebido"/>
    <tableColumn id="8" name="Forma Pagamento"/>
    <tableColumn id="9" name="Status"/>
    <tableColumn id="10" name="Mê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Despesas" displayName="tbDespesas" ref="A1:H8">
  <autoFilter ref="A1:H8"/>
  <tableColumns count="8">
    <tableColumn id="1" name="Data"/>
    <tableColumn id="2" name="Categoria"/>
    <tableColumn id="3" name="Descrição"/>
    <tableColumn id="4" name="Fixa/Variável"/>
    <tableColumn id="5" name="Centro Custo"/>
    <tableColumn id="6" name="Valor"/>
    <tableColumn id="7" name="Pago?"/>
    <tableColumn id="8" name="Mê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eads" displayName="tbLeads" ref="A1:J6">
  <autoFilter ref="A1:J6"/>
  <tableColumns count="10">
    <tableColumn id="1" name="Data"/>
    <tableColumn id="2" name="Nome"/>
    <tableColumn id="3" name="Origem"/>
    <tableColumn id="4" name="Interesse"/>
    <tableColumn id="5" name="Experimental"/>
    <tableColumn id="6" name="Compareceu"/>
    <tableColumn id="7" name="Matriculou"/>
    <tableColumn id="8" name="Valor Plano"/>
    <tableColumn id="9" name="CAC"/>
    <tableColumn id="10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Margens" displayName="tbMargens" ref="A1:F7">
  <autoFilter ref="A1:F7"/>
  <tableColumns count="6">
    <tableColumn id="1" name="Modalidade"/>
    <tableColumn id="2" name="Alunos"/>
    <tableColumn id="3" name="Receita Estimada"/>
    <tableColumn id="4" name="Custos Diretos"/>
    <tableColumn id="5" name="Margem Contribuição"/>
    <tableColumn id="6" name="Margem %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Ocupacao" displayName="tbOcupacao" ref="A1:F9">
  <autoFilter ref="A1:F9"/>
  <tableColumns count="6">
    <tableColumn id="1" name="Horário"/>
    <tableColumn id="2" name="Capacidade"/>
    <tableColumn id="3" name="Matriculados"/>
    <tableColumn id="4" name="Ocupação %"/>
    <tableColumn id="5" name="Presença Média"/>
    <tableColumn id="6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Churn" displayName="tbChurn" ref="A1:G13">
  <autoFilter ref="A1:G13"/>
  <tableColumns count="7">
    <tableColumn id="1" name="Mês"/>
    <tableColumn id="2" name="Base Inicial"/>
    <tableColumn id="3" name="Novos Alunos"/>
    <tableColumn id="4" name="Cancelamentos"/>
    <tableColumn id="5" name="Base Final"/>
    <tableColumn id="6" name="Churn %"/>
    <tableColumn id="7" name="Retenção %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Projecao" displayName="tbProjecao" ref="A1:E13">
  <autoFilter ref="A1:E13"/>
  <tableColumns count="5">
    <tableColumn id="1" name="Mês"/>
    <tableColumn id="2" name="Alunos Projetados"/>
    <tableColumn id="3" name="Ticket Médio"/>
    <tableColumn id="4" name="Faturamento Projetado"/>
    <tableColumn id="5" name="Faturamento Acumul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showGridLines="0" workbookViewId="0"/>
  </sheetViews>
  <sheetFormatPr defaultRowHeight="15" x14ac:dyDescent="0.25"/>
  <cols>
    <col min="1" max="1" width="120" customWidth="1"/>
  </cols>
  <sheetData>
    <row r="1" spans="1:1" ht="23.25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showGridLines="0" workbookViewId="0">
      <pane ySplit="1" topLeftCell="A2" activePane="bottomLeft" state="frozen"/>
      <selection pane="bottomLeft" activeCell="B20" sqref="B20"/>
    </sheetView>
  </sheetViews>
  <sheetFormatPr defaultRowHeight="15" x14ac:dyDescent="0.25"/>
  <cols>
    <col min="1" max="1" width="29.85546875" bestFit="1" customWidth="1"/>
    <col min="2" max="2" width="13" customWidth="1"/>
    <col min="3" max="3" width="11.5703125" bestFit="1" customWidth="1"/>
    <col min="4" max="4" width="29.28515625" bestFit="1" customWidth="1"/>
  </cols>
  <sheetData>
    <row r="1" spans="1:4" x14ac:dyDescent="0.25">
      <c r="A1" s="3" t="s">
        <v>5</v>
      </c>
      <c r="B1" s="3" t="s">
        <v>6</v>
      </c>
      <c r="C1" s="3" t="s">
        <v>7</v>
      </c>
      <c r="D1" s="3" t="s">
        <v>8</v>
      </c>
    </row>
    <row r="2" spans="1:4" x14ac:dyDescent="0.25">
      <c r="A2" s="2" t="s">
        <v>9</v>
      </c>
      <c r="B2" s="4">
        <v>150</v>
      </c>
      <c r="C2" s="2" t="s">
        <v>10</v>
      </c>
      <c r="D2" s="2" t="s">
        <v>11</v>
      </c>
    </row>
    <row r="3" spans="1:4" x14ac:dyDescent="0.25">
      <c r="A3" s="2" t="s">
        <v>12</v>
      </c>
      <c r="B3" s="4">
        <v>190</v>
      </c>
      <c r="C3" s="2" t="s">
        <v>10</v>
      </c>
      <c r="D3" s="2" t="s">
        <v>11</v>
      </c>
    </row>
    <row r="4" spans="1:4" x14ac:dyDescent="0.25">
      <c r="A4" s="2" t="s">
        <v>13</v>
      </c>
      <c r="B4" s="4">
        <v>140</v>
      </c>
      <c r="C4" s="2" t="s">
        <v>10</v>
      </c>
      <c r="D4" s="2" t="s">
        <v>11</v>
      </c>
    </row>
    <row r="5" spans="1:4" x14ac:dyDescent="0.25">
      <c r="A5" s="2" t="s">
        <v>14</v>
      </c>
      <c r="B5" s="5">
        <v>0.97</v>
      </c>
      <c r="C5" s="2" t="s">
        <v>15</v>
      </c>
      <c r="D5" s="2" t="s">
        <v>16</v>
      </c>
    </row>
    <row r="6" spans="1:4" x14ac:dyDescent="0.25">
      <c r="A6" s="2" t="s">
        <v>17</v>
      </c>
      <c r="B6" s="5">
        <v>0.05</v>
      </c>
      <c r="C6" s="2" t="s">
        <v>15</v>
      </c>
      <c r="D6" s="2" t="s">
        <v>18</v>
      </c>
    </row>
    <row r="7" spans="1:4" x14ac:dyDescent="0.25">
      <c r="A7" s="2" t="s">
        <v>19</v>
      </c>
      <c r="B7" s="4">
        <v>100</v>
      </c>
      <c r="C7" s="2" t="s">
        <v>20</v>
      </c>
      <c r="D7" s="2" t="s">
        <v>21</v>
      </c>
    </row>
    <row r="8" spans="1:4" x14ac:dyDescent="0.25">
      <c r="A8" s="2" t="s">
        <v>22</v>
      </c>
      <c r="B8" s="5">
        <v>0.65</v>
      </c>
      <c r="C8" s="2" t="s">
        <v>15</v>
      </c>
      <c r="D8" s="2" t="s">
        <v>23</v>
      </c>
    </row>
    <row r="9" spans="1:4" x14ac:dyDescent="0.25">
      <c r="A9" s="2" t="s">
        <v>24</v>
      </c>
      <c r="B9" s="5">
        <v>0.03</v>
      </c>
      <c r="C9" s="2" t="s">
        <v>15</v>
      </c>
      <c r="D9" s="2" t="s">
        <v>25</v>
      </c>
    </row>
    <row r="10" spans="1:4" x14ac:dyDescent="0.25">
      <c r="A10" s="2" t="s">
        <v>26</v>
      </c>
      <c r="B10" s="4">
        <v>18000</v>
      </c>
      <c r="C10" s="2" t="s">
        <v>10</v>
      </c>
      <c r="D10" s="2" t="s">
        <v>27</v>
      </c>
    </row>
    <row r="11" spans="1:4" x14ac:dyDescent="0.25">
      <c r="A11" s="2" t="s">
        <v>28</v>
      </c>
      <c r="B11" s="6">
        <v>300</v>
      </c>
      <c r="C11" s="2" t="s">
        <v>29</v>
      </c>
      <c r="D11" s="2" t="s">
        <v>30</v>
      </c>
    </row>
    <row r="12" spans="1:4" x14ac:dyDescent="0.25">
      <c r="A12" s="2" t="s">
        <v>31</v>
      </c>
      <c r="B12" s="2">
        <v>26</v>
      </c>
      <c r="C12" s="2" t="s">
        <v>32</v>
      </c>
      <c r="D12" s="2" t="s">
        <v>33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showGridLines="0" workbookViewId="0">
      <pane ySplit="1" topLeftCell="A2" activePane="bottomLeft" state="frozen"/>
      <selection pane="bottomLeft" activeCell="E20" sqref="E20"/>
    </sheetView>
  </sheetViews>
  <sheetFormatPr defaultRowHeight="15" x14ac:dyDescent="0.25"/>
  <cols>
    <col min="1" max="1" width="13" customWidth="1"/>
    <col min="2" max="2" width="20" customWidth="1"/>
    <col min="3" max="3" width="18" customWidth="1"/>
    <col min="4" max="4" width="16" customWidth="1"/>
    <col min="5" max="10" width="13" customWidth="1"/>
  </cols>
  <sheetData>
    <row r="1" spans="1:10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</row>
    <row r="2" spans="1:10" x14ac:dyDescent="0.25">
      <c r="A2" s="2">
        <v>1</v>
      </c>
      <c r="B2" s="2" t="s">
        <v>44</v>
      </c>
      <c r="C2" s="2" t="s">
        <v>45</v>
      </c>
      <c r="D2" s="2" t="s">
        <v>46</v>
      </c>
      <c r="E2" s="2" t="s">
        <v>47</v>
      </c>
      <c r="F2" s="4">
        <v>150</v>
      </c>
      <c r="G2" s="2" t="s">
        <v>48</v>
      </c>
      <c r="H2" s="2"/>
      <c r="I2" s="2" t="s">
        <v>49</v>
      </c>
      <c r="J2" s="2"/>
    </row>
    <row r="3" spans="1:10" x14ac:dyDescent="0.25">
      <c r="A3" s="2">
        <v>2</v>
      </c>
      <c r="B3" s="2" t="s">
        <v>50</v>
      </c>
      <c r="C3" s="2" t="s">
        <v>51</v>
      </c>
      <c r="D3" s="2" t="s">
        <v>52</v>
      </c>
      <c r="E3" s="2" t="s">
        <v>53</v>
      </c>
      <c r="F3" s="4">
        <v>190</v>
      </c>
      <c r="G3" s="2" t="s">
        <v>48</v>
      </c>
      <c r="H3" s="2"/>
      <c r="I3" s="2" t="s">
        <v>54</v>
      </c>
      <c r="J3" s="2"/>
    </row>
    <row r="4" spans="1:10" x14ac:dyDescent="0.25">
      <c r="A4" s="2">
        <v>3</v>
      </c>
      <c r="B4" s="2" t="s">
        <v>55</v>
      </c>
      <c r="C4" s="2" t="s">
        <v>56</v>
      </c>
      <c r="D4" s="2" t="s">
        <v>57</v>
      </c>
      <c r="E4" s="2" t="s">
        <v>58</v>
      </c>
      <c r="F4" s="4">
        <v>220</v>
      </c>
      <c r="G4" s="2" t="s">
        <v>48</v>
      </c>
      <c r="H4" s="2"/>
      <c r="I4" s="2" t="s">
        <v>59</v>
      </c>
      <c r="J4" s="2"/>
    </row>
    <row r="5" spans="1:10" x14ac:dyDescent="0.25">
      <c r="A5" s="2">
        <v>4</v>
      </c>
      <c r="B5" s="2" t="s">
        <v>60</v>
      </c>
      <c r="C5" s="2" t="s">
        <v>61</v>
      </c>
      <c r="D5" s="2" t="s">
        <v>46</v>
      </c>
      <c r="E5" s="2" t="s">
        <v>62</v>
      </c>
      <c r="F5" s="4">
        <v>140</v>
      </c>
      <c r="G5" s="2" t="s">
        <v>48</v>
      </c>
      <c r="H5" s="2"/>
      <c r="I5" s="2" t="s">
        <v>49</v>
      </c>
      <c r="J5" s="2"/>
    </row>
    <row r="6" spans="1:10" x14ac:dyDescent="0.25">
      <c r="A6" s="2">
        <v>5</v>
      </c>
      <c r="B6" s="2" t="s">
        <v>63</v>
      </c>
      <c r="C6" s="2" t="s">
        <v>64</v>
      </c>
      <c r="D6" s="2" t="s">
        <v>46</v>
      </c>
      <c r="E6" s="2" t="s">
        <v>65</v>
      </c>
      <c r="F6" s="4">
        <v>130</v>
      </c>
      <c r="G6" s="2" t="s">
        <v>66</v>
      </c>
      <c r="H6" s="2" t="s">
        <v>67</v>
      </c>
      <c r="I6" s="2" t="s">
        <v>49</v>
      </c>
      <c r="J6" s="2"/>
    </row>
    <row r="7" spans="1:10" x14ac:dyDescent="0.25">
      <c r="A7" s="2">
        <v>6</v>
      </c>
      <c r="B7" s="2" t="s">
        <v>68</v>
      </c>
      <c r="C7" s="2" t="s">
        <v>45</v>
      </c>
      <c r="D7" s="2" t="s">
        <v>46</v>
      </c>
      <c r="E7" s="2" t="s">
        <v>69</v>
      </c>
      <c r="F7" s="4">
        <v>150</v>
      </c>
      <c r="G7" s="2" t="s">
        <v>48</v>
      </c>
      <c r="H7" s="2"/>
      <c r="I7" s="2" t="s">
        <v>59</v>
      </c>
      <c r="J7" s="2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2" width="13" customWidth="1"/>
  </cols>
  <sheetData>
    <row r="1" spans="1:12" x14ac:dyDescent="0.25">
      <c r="A1" s="3" t="s">
        <v>70</v>
      </c>
      <c r="B1" s="3" t="s">
        <v>36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80</v>
      </c>
    </row>
    <row r="2" spans="1:12" x14ac:dyDescent="0.25">
      <c r="A2" s="2" t="s">
        <v>81</v>
      </c>
      <c r="B2" s="2" t="s">
        <v>45</v>
      </c>
      <c r="C2" s="2" t="s">
        <v>82</v>
      </c>
      <c r="D2" s="2" t="s">
        <v>83</v>
      </c>
      <c r="E2" s="2" t="s">
        <v>84</v>
      </c>
      <c r="F2" s="2">
        <v>8</v>
      </c>
      <c r="G2" s="2">
        <v>7</v>
      </c>
      <c r="H2" s="2">
        <v>6.2</v>
      </c>
      <c r="I2" s="7">
        <f t="shared" ref="I2:I12" si="0">IFERROR(G2/F2,0)</f>
        <v>0.875</v>
      </c>
      <c r="J2" s="4">
        <v>4500</v>
      </c>
      <c r="K2" s="4">
        <f>G2*IF(B2="Musculação",Premissas!$B$2,IF(B2="Balé",Premissas!$B$4,Premissas!$B$3))</f>
        <v>1050</v>
      </c>
      <c r="L2" s="7">
        <f t="shared" ref="L2:L12" si="1">IFERROR((K2-J2)/K2,0)</f>
        <v>-3.2857142857142856</v>
      </c>
    </row>
    <row r="3" spans="1:12" x14ac:dyDescent="0.25">
      <c r="A3" s="2" t="s">
        <v>85</v>
      </c>
      <c r="B3" s="2" t="s">
        <v>45</v>
      </c>
      <c r="C3" s="2" t="s">
        <v>82</v>
      </c>
      <c r="D3" s="2" t="s">
        <v>86</v>
      </c>
      <c r="E3" s="2" t="s">
        <v>84</v>
      </c>
      <c r="F3" s="2">
        <v>8</v>
      </c>
      <c r="G3" s="2">
        <v>6</v>
      </c>
      <c r="H3" s="2">
        <v>5</v>
      </c>
      <c r="I3" s="7">
        <f t="shared" si="0"/>
        <v>0.75</v>
      </c>
      <c r="J3" s="4">
        <v>4500</v>
      </c>
      <c r="K3" s="4">
        <f>G3*IF(B3="Musculação",Premissas!$B$2,IF(B3="Balé",Premissas!$B$4,Premissas!$B$3))</f>
        <v>900</v>
      </c>
      <c r="L3" s="7">
        <f t="shared" si="1"/>
        <v>-4</v>
      </c>
    </row>
    <row r="4" spans="1:12" x14ac:dyDescent="0.25">
      <c r="A4" s="2" t="s">
        <v>87</v>
      </c>
      <c r="B4" s="2" t="s">
        <v>45</v>
      </c>
      <c r="C4" s="2" t="s">
        <v>82</v>
      </c>
      <c r="D4" s="2" t="s">
        <v>88</v>
      </c>
      <c r="E4" s="2" t="s">
        <v>84</v>
      </c>
      <c r="F4" s="2">
        <v>8</v>
      </c>
      <c r="G4" s="2">
        <v>8</v>
      </c>
      <c r="H4" s="2">
        <v>7.2</v>
      </c>
      <c r="I4" s="7">
        <f t="shared" si="0"/>
        <v>1</v>
      </c>
      <c r="J4" s="4">
        <v>4500</v>
      </c>
      <c r="K4" s="4">
        <f>G4*IF(B4="Musculação",Premissas!$B$2,IF(B4="Balé",Premissas!$B$4,Premissas!$B$3))</f>
        <v>1200</v>
      </c>
      <c r="L4" s="7">
        <f t="shared" si="1"/>
        <v>-2.75</v>
      </c>
    </row>
    <row r="5" spans="1:12" x14ac:dyDescent="0.25">
      <c r="A5" s="2" t="s">
        <v>89</v>
      </c>
      <c r="B5" s="2" t="s">
        <v>51</v>
      </c>
      <c r="C5" s="2" t="s">
        <v>90</v>
      </c>
      <c r="D5" s="2" t="s">
        <v>91</v>
      </c>
      <c r="E5" s="2" t="s">
        <v>92</v>
      </c>
      <c r="F5" s="2">
        <v>20</v>
      </c>
      <c r="G5" s="2">
        <v>17</v>
      </c>
      <c r="H5" s="2">
        <v>14</v>
      </c>
      <c r="I5" s="7">
        <f t="shared" si="0"/>
        <v>0.85</v>
      </c>
      <c r="J5" s="4">
        <v>480</v>
      </c>
      <c r="K5" s="4">
        <f>G5*IF(B5="Musculação",Premissas!$B$2,IF(B5="Balé",Premissas!$B$4,Premissas!$B$3))</f>
        <v>3230</v>
      </c>
      <c r="L5" s="7">
        <f t="shared" si="1"/>
        <v>0.85139318885448911</v>
      </c>
    </row>
    <row r="6" spans="1:12" x14ac:dyDescent="0.25">
      <c r="A6" s="2" t="s">
        <v>93</v>
      </c>
      <c r="B6" s="2" t="s">
        <v>51</v>
      </c>
      <c r="C6" s="2" t="s">
        <v>94</v>
      </c>
      <c r="D6" s="2" t="s">
        <v>91</v>
      </c>
      <c r="E6" s="2" t="s">
        <v>92</v>
      </c>
      <c r="F6" s="2">
        <v>20</v>
      </c>
      <c r="G6" s="2">
        <v>12</v>
      </c>
      <c r="H6" s="2">
        <v>10</v>
      </c>
      <c r="I6" s="7">
        <f t="shared" si="0"/>
        <v>0.6</v>
      </c>
      <c r="J6" s="4">
        <v>480</v>
      </c>
      <c r="K6" s="4">
        <f>G6*IF(B6="Musculação",Premissas!$B$2,IF(B6="Balé",Premissas!$B$4,Premissas!$B$3))</f>
        <v>2280</v>
      </c>
      <c r="L6" s="7">
        <f t="shared" si="1"/>
        <v>0.78947368421052633</v>
      </c>
    </row>
    <row r="7" spans="1:12" x14ac:dyDescent="0.25">
      <c r="A7" s="2" t="s">
        <v>95</v>
      </c>
      <c r="B7" s="2" t="s">
        <v>51</v>
      </c>
      <c r="C7" s="2" t="s">
        <v>96</v>
      </c>
      <c r="D7" s="2" t="s">
        <v>91</v>
      </c>
      <c r="E7" s="2" t="s">
        <v>92</v>
      </c>
      <c r="F7" s="2">
        <v>20</v>
      </c>
      <c r="G7" s="2">
        <v>10</v>
      </c>
      <c r="H7" s="2">
        <v>8</v>
      </c>
      <c r="I7" s="7">
        <f t="shared" si="0"/>
        <v>0.5</v>
      </c>
      <c r="J7" s="4">
        <v>480</v>
      </c>
      <c r="K7" s="4">
        <f>G7*IF(B7="Musculação",Premissas!$B$2,IF(B7="Balé",Premissas!$B$4,Premissas!$B$3))</f>
        <v>1900</v>
      </c>
      <c r="L7" s="7">
        <f t="shared" si="1"/>
        <v>0.74736842105263157</v>
      </c>
    </row>
    <row r="8" spans="1:12" x14ac:dyDescent="0.25">
      <c r="A8" s="2" t="s">
        <v>97</v>
      </c>
      <c r="B8" s="2" t="s">
        <v>56</v>
      </c>
      <c r="C8" s="2" t="s">
        <v>98</v>
      </c>
      <c r="D8" s="2" t="s">
        <v>99</v>
      </c>
      <c r="E8" s="2" t="s">
        <v>100</v>
      </c>
      <c r="F8" s="2">
        <v>20</v>
      </c>
      <c r="G8" s="2">
        <v>18</v>
      </c>
      <c r="H8" s="2">
        <v>15</v>
      </c>
      <c r="I8" s="7">
        <f t="shared" si="0"/>
        <v>0.9</v>
      </c>
      <c r="J8" s="4">
        <v>480</v>
      </c>
      <c r="K8" s="4">
        <f>G8*IF(B8="Musculação",Premissas!$B$2,IF(B8="Balé",Premissas!$B$4,Premissas!$B$3))</f>
        <v>3420</v>
      </c>
      <c r="L8" s="7">
        <f t="shared" si="1"/>
        <v>0.85964912280701755</v>
      </c>
    </row>
    <row r="9" spans="1:12" x14ac:dyDescent="0.25">
      <c r="A9" s="2" t="s">
        <v>101</v>
      </c>
      <c r="B9" s="2" t="s">
        <v>56</v>
      </c>
      <c r="C9" s="2" t="s">
        <v>102</v>
      </c>
      <c r="D9" s="2" t="s">
        <v>99</v>
      </c>
      <c r="E9" s="2" t="s">
        <v>100</v>
      </c>
      <c r="F9" s="2">
        <v>20</v>
      </c>
      <c r="G9" s="2">
        <v>15</v>
      </c>
      <c r="H9" s="2">
        <v>12</v>
      </c>
      <c r="I9" s="7">
        <f t="shared" si="0"/>
        <v>0.75</v>
      </c>
      <c r="J9" s="4">
        <v>480</v>
      </c>
      <c r="K9" s="4">
        <f>G9*IF(B9="Musculação",Premissas!$B$2,IF(B9="Balé",Premissas!$B$4,Premissas!$B$3))</f>
        <v>2850</v>
      </c>
      <c r="L9" s="7">
        <f t="shared" si="1"/>
        <v>0.83157894736842108</v>
      </c>
    </row>
    <row r="10" spans="1:12" x14ac:dyDescent="0.25">
      <c r="A10" s="2" t="s">
        <v>103</v>
      </c>
      <c r="B10" s="2" t="s">
        <v>64</v>
      </c>
      <c r="C10" s="2" t="s">
        <v>94</v>
      </c>
      <c r="D10" s="2" t="s">
        <v>104</v>
      </c>
      <c r="E10" s="2" t="s">
        <v>105</v>
      </c>
      <c r="F10" s="2">
        <v>20</v>
      </c>
      <c r="G10" s="2">
        <v>8</v>
      </c>
      <c r="H10" s="2">
        <v>6</v>
      </c>
      <c r="I10" s="7">
        <f t="shared" si="0"/>
        <v>0.4</v>
      </c>
      <c r="J10" s="4">
        <v>400</v>
      </c>
      <c r="K10" s="4">
        <f>G10*IF(B10="Musculação",Premissas!$B$2,IF(B10="Balé",Premissas!$B$4,Premissas!$B$3))</f>
        <v>1520</v>
      </c>
      <c r="L10" s="7">
        <f t="shared" si="1"/>
        <v>0.73684210526315785</v>
      </c>
    </row>
    <row r="11" spans="1:12" x14ac:dyDescent="0.25">
      <c r="A11" s="2" t="s">
        <v>106</v>
      </c>
      <c r="B11" s="2" t="s">
        <v>107</v>
      </c>
      <c r="C11" s="2" t="s">
        <v>102</v>
      </c>
      <c r="D11" s="2" t="s">
        <v>91</v>
      </c>
      <c r="E11" s="2" t="s">
        <v>108</v>
      </c>
      <c r="F11" s="2">
        <v>20</v>
      </c>
      <c r="G11" s="2">
        <v>10</v>
      </c>
      <c r="H11" s="2">
        <v>8</v>
      </c>
      <c r="I11" s="7">
        <f t="shared" si="0"/>
        <v>0.5</v>
      </c>
      <c r="J11" s="4">
        <v>240</v>
      </c>
      <c r="K11" s="4">
        <f>G11*IF(B11="Musculação",Premissas!$B$2,IF(B11="Balé",Premissas!$B$4,Premissas!$B$3))</f>
        <v>1900</v>
      </c>
      <c r="L11" s="7">
        <f t="shared" si="1"/>
        <v>0.87368421052631584</v>
      </c>
    </row>
    <row r="12" spans="1:12" x14ac:dyDescent="0.25">
      <c r="A12" s="2" t="s">
        <v>109</v>
      </c>
      <c r="B12" s="2" t="s">
        <v>61</v>
      </c>
      <c r="C12" s="2" t="s">
        <v>110</v>
      </c>
      <c r="D12" s="2" t="s">
        <v>111</v>
      </c>
      <c r="E12" s="2" t="s">
        <v>112</v>
      </c>
      <c r="F12" s="2">
        <v>15</v>
      </c>
      <c r="G12" s="2">
        <v>11</v>
      </c>
      <c r="H12" s="2">
        <v>9</v>
      </c>
      <c r="I12" s="7">
        <f t="shared" si="0"/>
        <v>0.73333333333333328</v>
      </c>
      <c r="J12" s="4">
        <v>240</v>
      </c>
      <c r="K12" s="4">
        <f>G12*IF(B12="Musculação",Premissas!$B$2,IF(B12="Balé",Premissas!$B$4,Premissas!$B$3))</f>
        <v>1540</v>
      </c>
      <c r="L12" s="7">
        <f t="shared" si="1"/>
        <v>0.8441558441558441</v>
      </c>
    </row>
  </sheetData>
  <conditionalFormatting sqref="I2:I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0" width="13" customWidth="1"/>
  </cols>
  <sheetData>
    <row r="1" spans="1:10" x14ac:dyDescent="0.25">
      <c r="A1" s="3" t="s">
        <v>113</v>
      </c>
      <c r="B1" s="3" t="s">
        <v>114</v>
      </c>
      <c r="C1" s="3" t="s">
        <v>115</v>
      </c>
      <c r="D1" s="3" t="s">
        <v>36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40</v>
      </c>
      <c r="J1" s="3" t="s">
        <v>120</v>
      </c>
    </row>
    <row r="2" spans="1:10" x14ac:dyDescent="0.25">
      <c r="A2" s="2" t="s">
        <v>58</v>
      </c>
      <c r="B2" s="2">
        <v>1</v>
      </c>
      <c r="C2" s="2" t="s">
        <v>44</v>
      </c>
      <c r="D2" s="2" t="s">
        <v>45</v>
      </c>
      <c r="E2" s="2" t="s">
        <v>39</v>
      </c>
      <c r="F2" s="4">
        <v>150</v>
      </c>
      <c r="G2" s="4">
        <v>150</v>
      </c>
      <c r="H2" s="2" t="s">
        <v>121</v>
      </c>
      <c r="I2" s="2" t="s">
        <v>122</v>
      </c>
      <c r="J2" s="2" t="s">
        <v>123</v>
      </c>
    </row>
    <row r="3" spans="1:10" x14ac:dyDescent="0.25">
      <c r="A3" s="2" t="s">
        <v>58</v>
      </c>
      <c r="B3" s="2">
        <v>2</v>
      </c>
      <c r="C3" s="2" t="s">
        <v>50</v>
      </c>
      <c r="D3" s="2" t="s">
        <v>51</v>
      </c>
      <c r="E3" s="2" t="s">
        <v>39</v>
      </c>
      <c r="F3" s="4">
        <v>190</v>
      </c>
      <c r="G3" s="4">
        <v>190</v>
      </c>
      <c r="H3" s="2" t="s">
        <v>124</v>
      </c>
      <c r="I3" s="2" t="s">
        <v>122</v>
      </c>
      <c r="J3" s="2" t="s">
        <v>123</v>
      </c>
    </row>
    <row r="4" spans="1:10" x14ac:dyDescent="0.25">
      <c r="A4" s="2" t="s">
        <v>62</v>
      </c>
      <c r="B4" s="2">
        <v>3</v>
      </c>
      <c r="C4" s="2" t="s">
        <v>55</v>
      </c>
      <c r="D4" s="2" t="s">
        <v>56</v>
      </c>
      <c r="E4" s="2" t="s">
        <v>39</v>
      </c>
      <c r="F4" s="4">
        <v>220</v>
      </c>
      <c r="G4" s="4">
        <v>220</v>
      </c>
      <c r="H4" s="2" t="s">
        <v>121</v>
      </c>
      <c r="I4" s="2" t="s">
        <v>122</v>
      </c>
      <c r="J4" s="2" t="s">
        <v>123</v>
      </c>
    </row>
    <row r="5" spans="1:10" x14ac:dyDescent="0.25">
      <c r="A5" s="2" t="s">
        <v>125</v>
      </c>
      <c r="B5" s="2">
        <v>4</v>
      </c>
      <c r="C5" s="2" t="s">
        <v>60</v>
      </c>
      <c r="D5" s="2" t="s">
        <v>61</v>
      </c>
      <c r="E5" s="2" t="s">
        <v>39</v>
      </c>
      <c r="F5" s="4">
        <v>140</v>
      </c>
      <c r="G5" s="4">
        <v>0</v>
      </c>
      <c r="H5" s="2" t="s">
        <v>126</v>
      </c>
      <c r="I5" s="2" t="s">
        <v>127</v>
      </c>
      <c r="J5" s="2" t="s">
        <v>123</v>
      </c>
    </row>
    <row r="6" spans="1:10" x14ac:dyDescent="0.25">
      <c r="A6" s="2" t="s">
        <v>65</v>
      </c>
      <c r="B6" s="2"/>
      <c r="C6" s="2"/>
      <c r="D6" s="2" t="s">
        <v>128</v>
      </c>
      <c r="E6" s="2" t="s">
        <v>129</v>
      </c>
      <c r="F6" s="4">
        <v>500</v>
      </c>
      <c r="G6" s="4">
        <v>500</v>
      </c>
      <c r="H6" s="2" t="s">
        <v>121</v>
      </c>
      <c r="I6" s="2" t="s">
        <v>122</v>
      </c>
      <c r="J6" s="2" t="s">
        <v>123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8" width="13" customWidth="1"/>
  </cols>
  <sheetData>
    <row r="1" spans="1:8" x14ac:dyDescent="0.25">
      <c r="A1" s="3" t="s">
        <v>113</v>
      </c>
      <c r="B1" s="3" t="s">
        <v>130</v>
      </c>
      <c r="C1" s="3" t="s">
        <v>131</v>
      </c>
      <c r="D1" s="3" t="s">
        <v>132</v>
      </c>
      <c r="E1" s="3" t="s">
        <v>133</v>
      </c>
      <c r="F1" s="3" t="s">
        <v>134</v>
      </c>
      <c r="G1" s="3" t="s">
        <v>135</v>
      </c>
      <c r="H1" s="3" t="s">
        <v>120</v>
      </c>
    </row>
    <row r="2" spans="1:8" x14ac:dyDescent="0.25">
      <c r="A2" s="2" t="s">
        <v>47</v>
      </c>
      <c r="B2" s="2" t="s">
        <v>136</v>
      </c>
      <c r="C2" s="2" t="s">
        <v>137</v>
      </c>
      <c r="D2" s="2" t="s">
        <v>138</v>
      </c>
      <c r="E2" s="2" t="s">
        <v>139</v>
      </c>
      <c r="F2" s="4">
        <v>6500</v>
      </c>
      <c r="G2" s="2" t="s">
        <v>140</v>
      </c>
      <c r="H2" s="2" t="s">
        <v>123</v>
      </c>
    </row>
    <row r="3" spans="1:8" x14ac:dyDescent="0.25">
      <c r="A3" s="2" t="s">
        <v>47</v>
      </c>
      <c r="B3" s="2" t="s">
        <v>141</v>
      </c>
      <c r="C3" s="2" t="s">
        <v>142</v>
      </c>
      <c r="D3" s="2" t="s">
        <v>143</v>
      </c>
      <c r="E3" s="2" t="s">
        <v>144</v>
      </c>
      <c r="F3" s="4">
        <v>6000</v>
      </c>
      <c r="G3" s="2" t="s">
        <v>140</v>
      </c>
      <c r="H3" s="2" t="s">
        <v>123</v>
      </c>
    </row>
    <row r="4" spans="1:8" x14ac:dyDescent="0.25">
      <c r="A4" s="2" t="s">
        <v>53</v>
      </c>
      <c r="B4" s="2" t="s">
        <v>145</v>
      </c>
      <c r="C4" s="2" t="s">
        <v>146</v>
      </c>
      <c r="D4" s="2" t="s">
        <v>143</v>
      </c>
      <c r="E4" s="2" t="s">
        <v>147</v>
      </c>
      <c r="F4" s="4">
        <v>1800</v>
      </c>
      <c r="G4" s="2" t="s">
        <v>140</v>
      </c>
      <c r="H4" s="2" t="s">
        <v>123</v>
      </c>
    </row>
    <row r="5" spans="1:8" x14ac:dyDescent="0.25">
      <c r="A5" s="2" t="s">
        <v>58</v>
      </c>
      <c r="B5" s="2" t="s">
        <v>148</v>
      </c>
      <c r="C5" s="2" t="s">
        <v>149</v>
      </c>
      <c r="D5" s="2" t="s">
        <v>138</v>
      </c>
      <c r="E5" s="2" t="s">
        <v>150</v>
      </c>
      <c r="F5" s="4">
        <v>1000</v>
      </c>
      <c r="G5" s="2" t="s">
        <v>140</v>
      </c>
      <c r="H5" s="2" t="s">
        <v>123</v>
      </c>
    </row>
    <row r="6" spans="1:8" x14ac:dyDescent="0.25">
      <c r="A6" s="2" t="s">
        <v>125</v>
      </c>
      <c r="B6" s="2" t="s">
        <v>151</v>
      </c>
      <c r="C6" s="2" t="s">
        <v>152</v>
      </c>
      <c r="D6" s="2" t="s">
        <v>138</v>
      </c>
      <c r="E6" s="2" t="s">
        <v>147</v>
      </c>
      <c r="F6" s="4">
        <v>700</v>
      </c>
      <c r="G6" s="2" t="s">
        <v>153</v>
      </c>
      <c r="H6" s="2" t="s">
        <v>123</v>
      </c>
    </row>
    <row r="7" spans="1:8" x14ac:dyDescent="0.25">
      <c r="A7" s="2" t="s">
        <v>154</v>
      </c>
      <c r="B7" s="2" t="s">
        <v>155</v>
      </c>
      <c r="C7" s="2" t="s">
        <v>156</v>
      </c>
      <c r="D7" s="2" t="s">
        <v>143</v>
      </c>
      <c r="E7" s="2" t="s">
        <v>144</v>
      </c>
      <c r="F7" s="4">
        <v>300</v>
      </c>
      <c r="G7" s="2" t="s">
        <v>140</v>
      </c>
      <c r="H7" s="2" t="s">
        <v>123</v>
      </c>
    </row>
    <row r="8" spans="1:8" x14ac:dyDescent="0.25">
      <c r="A8" s="2" t="s">
        <v>65</v>
      </c>
      <c r="B8" s="2" t="s">
        <v>157</v>
      </c>
      <c r="C8" s="2" t="s">
        <v>158</v>
      </c>
      <c r="D8" s="2" t="s">
        <v>143</v>
      </c>
      <c r="E8" s="2" t="s">
        <v>147</v>
      </c>
      <c r="F8" s="4">
        <v>600</v>
      </c>
      <c r="G8" s="2" t="s">
        <v>140</v>
      </c>
      <c r="H8" s="2" t="s">
        <v>123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0" width="13" customWidth="1"/>
  </cols>
  <sheetData>
    <row r="1" spans="1:10" x14ac:dyDescent="0.25">
      <c r="A1" s="3" t="s">
        <v>113</v>
      </c>
      <c r="B1" s="3" t="s">
        <v>35</v>
      </c>
      <c r="C1" s="3" t="s">
        <v>42</v>
      </c>
      <c r="D1" s="3" t="s">
        <v>159</v>
      </c>
      <c r="E1" s="3" t="s">
        <v>160</v>
      </c>
      <c r="F1" s="3" t="s">
        <v>161</v>
      </c>
      <c r="G1" s="3" t="s">
        <v>162</v>
      </c>
      <c r="H1" s="3" t="s">
        <v>163</v>
      </c>
      <c r="I1" s="3" t="s">
        <v>164</v>
      </c>
      <c r="J1" s="3" t="s">
        <v>40</v>
      </c>
    </row>
    <row r="2" spans="1:10" x14ac:dyDescent="0.25">
      <c r="A2" s="2" t="s">
        <v>47</v>
      </c>
      <c r="B2" s="2" t="s">
        <v>165</v>
      </c>
      <c r="C2" s="2" t="s">
        <v>49</v>
      </c>
      <c r="D2" s="2" t="s">
        <v>45</v>
      </c>
      <c r="E2" s="2" t="s">
        <v>140</v>
      </c>
      <c r="F2" s="2" t="s">
        <v>140</v>
      </c>
      <c r="G2" s="2" t="s">
        <v>140</v>
      </c>
      <c r="H2" s="4">
        <v>150</v>
      </c>
      <c r="I2" s="4">
        <v>100</v>
      </c>
      <c r="J2" s="2" t="s">
        <v>166</v>
      </c>
    </row>
    <row r="3" spans="1:10" x14ac:dyDescent="0.25">
      <c r="A3" s="2" t="s">
        <v>167</v>
      </c>
      <c r="B3" s="2" t="s">
        <v>168</v>
      </c>
      <c r="C3" s="2" t="s">
        <v>54</v>
      </c>
      <c r="D3" s="2" t="s">
        <v>51</v>
      </c>
      <c r="E3" s="2" t="s">
        <v>140</v>
      </c>
      <c r="F3" s="2" t="s">
        <v>140</v>
      </c>
      <c r="G3" s="2" t="s">
        <v>153</v>
      </c>
      <c r="H3" s="4">
        <v>190</v>
      </c>
      <c r="I3" s="4">
        <v>100</v>
      </c>
      <c r="J3" s="2" t="s">
        <v>169</v>
      </c>
    </row>
    <row r="4" spans="1:10" x14ac:dyDescent="0.25">
      <c r="A4" s="2" t="s">
        <v>53</v>
      </c>
      <c r="B4" s="2" t="s">
        <v>170</v>
      </c>
      <c r="C4" s="2" t="s">
        <v>59</v>
      </c>
      <c r="D4" s="2" t="s">
        <v>56</v>
      </c>
      <c r="E4" s="2" t="s">
        <v>140</v>
      </c>
      <c r="F4" s="2" t="s">
        <v>140</v>
      </c>
      <c r="G4" s="2" t="s">
        <v>140</v>
      </c>
      <c r="H4" s="4">
        <v>220</v>
      </c>
      <c r="I4" s="4">
        <v>100</v>
      </c>
      <c r="J4" s="2" t="s">
        <v>166</v>
      </c>
    </row>
    <row r="5" spans="1:10" x14ac:dyDescent="0.25">
      <c r="A5" s="2" t="s">
        <v>171</v>
      </c>
      <c r="B5" s="2" t="s">
        <v>172</v>
      </c>
      <c r="C5" s="2" t="s">
        <v>49</v>
      </c>
      <c r="D5" s="2" t="s">
        <v>61</v>
      </c>
      <c r="E5" s="2" t="s">
        <v>140</v>
      </c>
      <c r="F5" s="2" t="s">
        <v>153</v>
      </c>
      <c r="G5" s="2" t="s">
        <v>153</v>
      </c>
      <c r="H5" s="4">
        <v>140</v>
      </c>
      <c r="I5" s="4">
        <v>100</v>
      </c>
      <c r="J5" s="2" t="s">
        <v>173</v>
      </c>
    </row>
    <row r="6" spans="1:10" x14ac:dyDescent="0.25">
      <c r="A6" s="2" t="s">
        <v>58</v>
      </c>
      <c r="B6" s="2" t="s">
        <v>174</v>
      </c>
      <c r="C6" s="2" t="s">
        <v>175</v>
      </c>
      <c r="D6" s="2" t="s">
        <v>45</v>
      </c>
      <c r="E6" s="2" t="s">
        <v>140</v>
      </c>
      <c r="F6" s="2" t="s">
        <v>140</v>
      </c>
      <c r="G6" s="2" t="s">
        <v>140</v>
      </c>
      <c r="H6" s="4">
        <v>150</v>
      </c>
      <c r="I6" s="4">
        <v>100</v>
      </c>
      <c r="J6" s="2" t="s">
        <v>166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13" width="13" customWidth="1"/>
  </cols>
  <sheetData>
    <row r="1" spans="1:13" x14ac:dyDescent="0.25">
      <c r="A1" s="3" t="s">
        <v>176</v>
      </c>
      <c r="B1" s="3" t="s">
        <v>177</v>
      </c>
      <c r="C1" s="3" t="s">
        <v>178</v>
      </c>
      <c r="D1" s="3" t="s">
        <v>179</v>
      </c>
      <c r="E1" s="3" t="s">
        <v>180</v>
      </c>
      <c r="F1" s="3" t="s">
        <v>181</v>
      </c>
      <c r="G1" s="3" t="s">
        <v>182</v>
      </c>
      <c r="H1" s="3" t="s">
        <v>183</v>
      </c>
      <c r="I1" s="3" t="s">
        <v>184</v>
      </c>
      <c r="J1" s="3" t="s">
        <v>185</v>
      </c>
      <c r="K1" s="3" t="s">
        <v>186</v>
      </c>
      <c r="L1" s="3" t="s">
        <v>187</v>
      </c>
      <c r="M1" s="3" t="s">
        <v>188</v>
      </c>
    </row>
    <row r="2" spans="1:13" x14ac:dyDescent="0.25">
      <c r="A2" s="2" t="s">
        <v>189</v>
      </c>
      <c r="B2" s="8">
        <f>SUM(Receitas!F:F)</f>
        <v>1200</v>
      </c>
      <c r="C2" s="8">
        <f>B2*(1+Premissas!$B$9)</f>
        <v>1236</v>
      </c>
      <c r="D2" s="8">
        <f>C2*(1+Premissas!$B$9)</f>
        <v>1273.08</v>
      </c>
      <c r="E2" s="8">
        <f>D2*(1+Premissas!$B$9)</f>
        <v>1311.2724000000001</v>
      </c>
      <c r="F2" s="8">
        <f>E2*(1+Premissas!$B$9)</f>
        <v>1350.610572</v>
      </c>
      <c r="G2" s="8">
        <f>F2*(1+Premissas!$B$9)</f>
        <v>1391.12888916</v>
      </c>
      <c r="H2" s="8">
        <f>G2*(1+Premissas!$B$9)</f>
        <v>1432.8627558348001</v>
      </c>
      <c r="I2" s="8">
        <f>H2*(1+Premissas!$B$9)</f>
        <v>1475.848638509844</v>
      </c>
      <c r="J2" s="8">
        <f>I2*(1+Premissas!$B$9)</f>
        <v>1520.1240976651393</v>
      </c>
      <c r="K2" s="8">
        <f>J2*(1+Premissas!$B$9)</f>
        <v>1565.7278205950936</v>
      </c>
      <c r="L2" s="8">
        <f>K2*(1+Premissas!$B$9)</f>
        <v>1612.6996552129465</v>
      </c>
      <c r="M2" s="8">
        <f>L2*(1+Premissas!$B$9)</f>
        <v>1661.0806448693349</v>
      </c>
    </row>
    <row r="3" spans="1:13" x14ac:dyDescent="0.25">
      <c r="A3" s="2" t="s">
        <v>190</v>
      </c>
      <c r="B3" s="8">
        <f>B2*(1-Premissas!$B$5)</f>
        <v>36.000000000000028</v>
      </c>
      <c r="C3" s="8">
        <f>C2*(1-Premissas!$B$5)</f>
        <v>37.080000000000034</v>
      </c>
      <c r="D3" s="8">
        <f>D2*(1-Premissas!$B$5)</f>
        <v>38.192400000000035</v>
      </c>
      <c r="E3" s="8">
        <f>E2*(1-Premissas!$B$5)</f>
        <v>39.338172000000036</v>
      </c>
      <c r="F3" s="8">
        <f>F2*(1-Premissas!$B$5)</f>
        <v>40.518317160000038</v>
      </c>
      <c r="G3" s="8">
        <f>G2*(1-Premissas!$B$5)</f>
        <v>41.733866674800034</v>
      </c>
      <c r="H3" s="8">
        <f>H2*(1-Premissas!$B$5)</f>
        <v>42.985882675044039</v>
      </c>
      <c r="I3" s="8">
        <f>I2*(1-Premissas!$B$5)</f>
        <v>44.275459155295358</v>
      </c>
      <c r="J3" s="8">
        <f>J2*(1-Premissas!$B$5)</f>
        <v>45.603722929954216</v>
      </c>
      <c r="K3" s="8">
        <f>K2*(1-Premissas!$B$5)</f>
        <v>46.971834617852849</v>
      </c>
      <c r="L3" s="8">
        <f>L2*(1-Premissas!$B$5)</f>
        <v>48.380989656388437</v>
      </c>
      <c r="M3" s="8">
        <f>M2*(1-Premissas!$B$5)</f>
        <v>49.832419346080094</v>
      </c>
    </row>
    <row r="4" spans="1:13" x14ac:dyDescent="0.25">
      <c r="A4" s="2" t="s">
        <v>191</v>
      </c>
      <c r="B4" s="8">
        <f t="shared" ref="B4:M4" si="0">B2-B3</f>
        <v>1164</v>
      </c>
      <c r="C4" s="8">
        <f t="shared" si="0"/>
        <v>1198.92</v>
      </c>
      <c r="D4" s="8">
        <f t="shared" si="0"/>
        <v>1234.8875999999998</v>
      </c>
      <c r="E4" s="8">
        <f t="shared" si="0"/>
        <v>1271.9342280000001</v>
      </c>
      <c r="F4" s="8">
        <f t="shared" si="0"/>
        <v>1310.0922548399999</v>
      </c>
      <c r="G4" s="8">
        <f t="shared" si="0"/>
        <v>1349.3950224851999</v>
      </c>
      <c r="H4" s="8">
        <f t="shared" si="0"/>
        <v>1389.8768731597561</v>
      </c>
      <c r="I4" s="8">
        <f t="shared" si="0"/>
        <v>1431.5731793545488</v>
      </c>
      <c r="J4" s="8">
        <f t="shared" si="0"/>
        <v>1474.520374735185</v>
      </c>
      <c r="K4" s="8">
        <f t="shared" si="0"/>
        <v>1518.7559859772407</v>
      </c>
      <c r="L4" s="8">
        <f t="shared" si="0"/>
        <v>1564.318665556558</v>
      </c>
      <c r="M4" s="8">
        <f t="shared" si="0"/>
        <v>1611.2482255232549</v>
      </c>
    </row>
    <row r="5" spans="1:13" x14ac:dyDescent="0.25">
      <c r="A5" s="2" t="s">
        <v>192</v>
      </c>
      <c r="B5" s="8">
        <f>B4*(1-Premissas!$B$8)</f>
        <v>407.4</v>
      </c>
      <c r="C5" s="8">
        <f>C4*(1-Premissas!$B$8)</f>
        <v>419.62200000000001</v>
      </c>
      <c r="D5" s="8">
        <f>D4*(1-Premissas!$B$8)</f>
        <v>432.2106599999999</v>
      </c>
      <c r="E5" s="8">
        <f>E4*(1-Premissas!$B$8)</f>
        <v>445.17697980000003</v>
      </c>
      <c r="F5" s="8">
        <f>F4*(1-Premissas!$B$8)</f>
        <v>458.53228919399993</v>
      </c>
      <c r="G5" s="8">
        <f>G4*(1-Premissas!$B$8)</f>
        <v>472.28825786981992</v>
      </c>
      <c r="H5" s="8">
        <f>H4*(1-Premissas!$B$8)</f>
        <v>486.45690560591459</v>
      </c>
      <c r="I5" s="8">
        <f>I4*(1-Premissas!$B$8)</f>
        <v>501.05061277409203</v>
      </c>
      <c r="J5" s="8">
        <f>J4*(1-Premissas!$B$8)</f>
        <v>516.08213115731473</v>
      </c>
      <c r="K5" s="8">
        <f>K4*(1-Premissas!$B$8)</f>
        <v>531.56459509203421</v>
      </c>
      <c r="L5" s="8">
        <f>L4*(1-Premissas!$B$8)</f>
        <v>547.51153294479525</v>
      </c>
      <c r="M5" s="8">
        <f>M4*(1-Premissas!$B$8)</f>
        <v>563.93687893313916</v>
      </c>
    </row>
    <row r="6" spans="1:13" x14ac:dyDescent="0.25">
      <c r="A6" s="2" t="s">
        <v>193</v>
      </c>
      <c r="B6" s="8">
        <f t="shared" ref="B6:M6" si="1">B4-B5</f>
        <v>756.6</v>
      </c>
      <c r="C6" s="8">
        <f t="shared" si="1"/>
        <v>779.298</v>
      </c>
      <c r="D6" s="8">
        <f t="shared" si="1"/>
        <v>802.67693999999983</v>
      </c>
      <c r="E6" s="8">
        <f t="shared" si="1"/>
        <v>826.75724820000005</v>
      </c>
      <c r="F6" s="8">
        <f t="shared" si="1"/>
        <v>851.55996564599991</v>
      </c>
      <c r="G6" s="8">
        <f t="shared" si="1"/>
        <v>877.10676461537992</v>
      </c>
      <c r="H6" s="8">
        <f t="shared" si="1"/>
        <v>903.4199675538415</v>
      </c>
      <c r="I6" s="8">
        <f t="shared" si="1"/>
        <v>930.52256658045667</v>
      </c>
      <c r="J6" s="8">
        <f t="shared" si="1"/>
        <v>958.43824357787025</v>
      </c>
      <c r="K6" s="8">
        <f t="shared" si="1"/>
        <v>987.19139088520649</v>
      </c>
      <c r="L6" s="8">
        <f t="shared" si="1"/>
        <v>1016.8071326117628</v>
      </c>
      <c r="M6" s="8">
        <f t="shared" si="1"/>
        <v>1047.3113465901156</v>
      </c>
    </row>
    <row r="7" spans="1:13" x14ac:dyDescent="0.25">
      <c r="A7" s="2" t="s">
        <v>194</v>
      </c>
      <c r="B7" s="8">
        <f>Premissas!$B$10</f>
        <v>18000</v>
      </c>
      <c r="C7" s="8">
        <f>Premissas!$B$10</f>
        <v>18000</v>
      </c>
      <c r="D7" s="8">
        <f>Premissas!$B$10</f>
        <v>18000</v>
      </c>
      <c r="E7" s="8">
        <f>Premissas!$B$10</f>
        <v>18000</v>
      </c>
      <c r="F7" s="8">
        <f>Premissas!$B$10</f>
        <v>18000</v>
      </c>
      <c r="G7" s="8">
        <f>Premissas!$B$10</f>
        <v>18000</v>
      </c>
      <c r="H7" s="8">
        <f>Premissas!$B$10</f>
        <v>18000</v>
      </c>
      <c r="I7" s="8">
        <f>Premissas!$B$10</f>
        <v>18000</v>
      </c>
      <c r="J7" s="8">
        <f>Premissas!$B$10</f>
        <v>18000</v>
      </c>
      <c r="K7" s="8">
        <f>Premissas!$B$10</f>
        <v>18000</v>
      </c>
      <c r="L7" s="8">
        <f>Premissas!$B$10</f>
        <v>18000</v>
      </c>
      <c r="M7" s="8">
        <f>Premissas!$B$10</f>
        <v>18000</v>
      </c>
    </row>
    <row r="8" spans="1:13" x14ac:dyDescent="0.25">
      <c r="A8" s="2" t="s">
        <v>195</v>
      </c>
      <c r="B8" s="8">
        <f t="shared" ref="B8:M8" si="2">B6-B7</f>
        <v>-17243.400000000001</v>
      </c>
      <c r="C8" s="8">
        <f t="shared" si="2"/>
        <v>-17220.702000000001</v>
      </c>
      <c r="D8" s="8">
        <f t="shared" si="2"/>
        <v>-17197.323059999999</v>
      </c>
      <c r="E8" s="8">
        <f t="shared" si="2"/>
        <v>-17173.2427518</v>
      </c>
      <c r="F8" s="8">
        <f t="shared" si="2"/>
        <v>-17148.440034354</v>
      </c>
      <c r="G8" s="8">
        <f t="shared" si="2"/>
        <v>-17122.893235384621</v>
      </c>
      <c r="H8" s="8">
        <f t="shared" si="2"/>
        <v>-17096.58003244616</v>
      </c>
      <c r="I8" s="8">
        <f t="shared" si="2"/>
        <v>-17069.477433419543</v>
      </c>
      <c r="J8" s="8">
        <f t="shared" si="2"/>
        <v>-17041.561756422128</v>
      </c>
      <c r="K8" s="8">
        <f t="shared" si="2"/>
        <v>-17012.808609114792</v>
      </c>
      <c r="L8" s="8">
        <f t="shared" si="2"/>
        <v>-16983.192867388236</v>
      </c>
      <c r="M8" s="8">
        <f t="shared" si="2"/>
        <v>-16952.688653409885</v>
      </c>
    </row>
    <row r="9" spans="1:13" x14ac:dyDescent="0.25">
      <c r="A9" s="2" t="s">
        <v>196</v>
      </c>
      <c r="B9" s="7">
        <f t="shared" ref="B9:M9" si="3">IFERROR(B8/B4,0)</f>
        <v>-14.813917525773197</v>
      </c>
      <c r="C9" s="7">
        <f t="shared" si="3"/>
        <v>-14.36351216094485</v>
      </c>
      <c r="D9" s="7">
        <f t="shared" si="3"/>
        <v>-13.926225398975584</v>
      </c>
      <c r="E9" s="7">
        <f t="shared" si="3"/>
        <v>-13.501675144636488</v>
      </c>
      <c r="F9" s="7">
        <f t="shared" si="3"/>
        <v>-13.089490431685912</v>
      </c>
      <c r="G9" s="7">
        <f t="shared" si="3"/>
        <v>-12.689311098724188</v>
      </c>
      <c r="H9" s="7">
        <f t="shared" si="3"/>
        <v>-12.3007874744895</v>
      </c>
      <c r="I9" s="7">
        <f t="shared" si="3"/>
        <v>-11.923580072319902</v>
      </c>
      <c r="J9" s="7">
        <f t="shared" si="3"/>
        <v>-11.55735929351447</v>
      </c>
      <c r="K9" s="7">
        <f t="shared" si="3"/>
        <v>-11.201805139334436</v>
      </c>
      <c r="L9" s="7">
        <f t="shared" si="3"/>
        <v>-10.856606931392655</v>
      </c>
      <c r="M9" s="7">
        <f t="shared" si="3"/>
        <v>-10.521463040187044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3" width="13" customWidth="1"/>
  </cols>
  <sheetData>
    <row r="1" spans="1:13" x14ac:dyDescent="0.25">
      <c r="A1" s="3" t="s">
        <v>197</v>
      </c>
      <c r="B1" s="3" t="s">
        <v>177</v>
      </c>
      <c r="C1" s="3" t="s">
        <v>178</v>
      </c>
      <c r="D1" s="3" t="s">
        <v>179</v>
      </c>
      <c r="E1" s="3" t="s">
        <v>180</v>
      </c>
      <c r="F1" s="3" t="s">
        <v>181</v>
      </c>
      <c r="G1" s="3" t="s">
        <v>182</v>
      </c>
      <c r="H1" s="3" t="s">
        <v>183</v>
      </c>
      <c r="I1" s="3" t="s">
        <v>184</v>
      </c>
      <c r="J1" s="3" t="s">
        <v>185</v>
      </c>
      <c r="K1" s="3" t="s">
        <v>186</v>
      </c>
      <c r="L1" s="3" t="s">
        <v>187</v>
      </c>
      <c r="M1" s="3" t="s">
        <v>188</v>
      </c>
    </row>
    <row r="2" spans="1:13" x14ac:dyDescent="0.25">
      <c r="A2" s="2" t="s">
        <v>198</v>
      </c>
      <c r="B2" s="8">
        <f>0</f>
        <v>0</v>
      </c>
      <c r="C2" s="8">
        <f t="shared" ref="C2:M2" si="0">B6</f>
        <v>-17243.400000000001</v>
      </c>
      <c r="D2" s="8">
        <f t="shared" si="0"/>
        <v>-34464.101999999999</v>
      </c>
      <c r="E2" s="8">
        <f t="shared" si="0"/>
        <v>-51661.425060000001</v>
      </c>
      <c r="F2" s="8">
        <f t="shared" si="0"/>
        <v>-68834.667811799998</v>
      </c>
      <c r="G2" s="8">
        <f t="shared" si="0"/>
        <v>-85983.107846154002</v>
      </c>
      <c r="H2" s="8">
        <f t="shared" si="0"/>
        <v>-103106.00108153862</v>
      </c>
      <c r="I2" s="8">
        <f t="shared" si="0"/>
        <v>-120202.58111398478</v>
      </c>
      <c r="J2" s="8">
        <f t="shared" si="0"/>
        <v>-137272.05854740433</v>
      </c>
      <c r="K2" s="8">
        <f t="shared" si="0"/>
        <v>-154313.62030382646</v>
      </c>
      <c r="L2" s="8">
        <f t="shared" si="0"/>
        <v>-171326.42891294125</v>
      </c>
      <c r="M2" s="8">
        <f t="shared" si="0"/>
        <v>-188309.6217803295</v>
      </c>
    </row>
    <row r="3" spans="1:13" x14ac:dyDescent="0.25">
      <c r="A3" s="2" t="s">
        <v>199</v>
      </c>
      <c r="B3" s="8">
        <f>DRE_12M!B4</f>
        <v>1164</v>
      </c>
      <c r="C3" s="8">
        <f>DRE_12M!C4</f>
        <v>1198.92</v>
      </c>
      <c r="D3" s="8">
        <f>DRE_12M!D4</f>
        <v>1234.8875999999998</v>
      </c>
      <c r="E3" s="8">
        <f>DRE_12M!E4</f>
        <v>1271.9342280000001</v>
      </c>
      <c r="F3" s="8">
        <f>DRE_12M!F4</f>
        <v>1310.0922548399999</v>
      </c>
      <c r="G3" s="8">
        <f>DRE_12M!G4</f>
        <v>1349.3950224851999</v>
      </c>
      <c r="H3" s="8">
        <f>DRE_12M!H4</f>
        <v>1389.8768731597561</v>
      </c>
      <c r="I3" s="8">
        <f>DRE_12M!I4</f>
        <v>1431.5731793545488</v>
      </c>
      <c r="J3" s="8">
        <f>DRE_12M!J4</f>
        <v>1474.520374735185</v>
      </c>
      <c r="K3" s="8">
        <f>DRE_12M!K4</f>
        <v>1518.7559859772407</v>
      </c>
      <c r="L3" s="8">
        <f>DRE_12M!L4</f>
        <v>1564.318665556558</v>
      </c>
      <c r="M3" s="8">
        <f>DRE_12M!M4</f>
        <v>1611.2482255232549</v>
      </c>
    </row>
    <row r="4" spans="1:13" x14ac:dyDescent="0.25">
      <c r="A4" s="2" t="s">
        <v>200</v>
      </c>
      <c r="B4" s="8">
        <f>DRE_12M!B5+DRE_12M!B7</f>
        <v>18407.400000000001</v>
      </c>
      <c r="C4" s="8">
        <f>DRE_12M!C5+DRE_12M!C7</f>
        <v>18419.621999999999</v>
      </c>
      <c r="D4" s="8">
        <f>DRE_12M!D5+DRE_12M!D7</f>
        <v>18432.210660000001</v>
      </c>
      <c r="E4" s="8">
        <f>DRE_12M!E5+DRE_12M!E7</f>
        <v>18445.176979799999</v>
      </c>
      <c r="F4" s="8">
        <f>DRE_12M!F5+DRE_12M!F7</f>
        <v>18458.532289194001</v>
      </c>
      <c r="G4" s="8">
        <f>DRE_12M!G5+DRE_12M!G7</f>
        <v>18472.288257869819</v>
      </c>
      <c r="H4" s="8">
        <f>DRE_12M!H5+DRE_12M!H7</f>
        <v>18486.456905605915</v>
      </c>
      <c r="I4" s="8">
        <f>DRE_12M!I5+DRE_12M!I7</f>
        <v>18501.050612774092</v>
      </c>
      <c r="J4" s="8">
        <f>DRE_12M!J5+DRE_12M!J7</f>
        <v>18516.082131157316</v>
      </c>
      <c r="K4" s="8">
        <f>DRE_12M!K5+DRE_12M!K7</f>
        <v>18531.564595092033</v>
      </c>
      <c r="L4" s="8">
        <f>DRE_12M!L5+DRE_12M!L7</f>
        <v>18547.511532944794</v>
      </c>
      <c r="M4" s="8">
        <f>DRE_12M!M5+DRE_12M!M7</f>
        <v>18563.936878933138</v>
      </c>
    </row>
    <row r="5" spans="1:13" x14ac:dyDescent="0.25">
      <c r="A5" s="2" t="s">
        <v>201</v>
      </c>
      <c r="B5" s="8">
        <f t="shared" ref="B5:M5" si="1">B3-B4</f>
        <v>-17243.400000000001</v>
      </c>
      <c r="C5" s="8">
        <f t="shared" si="1"/>
        <v>-17220.701999999997</v>
      </c>
      <c r="D5" s="8">
        <f t="shared" si="1"/>
        <v>-17197.323060000002</v>
      </c>
      <c r="E5" s="8">
        <f t="shared" si="1"/>
        <v>-17173.242751799997</v>
      </c>
      <c r="F5" s="8">
        <f t="shared" si="1"/>
        <v>-17148.440034354</v>
      </c>
      <c r="G5" s="8">
        <f t="shared" si="1"/>
        <v>-17122.893235384618</v>
      </c>
      <c r="H5" s="8">
        <f t="shared" si="1"/>
        <v>-17096.58003244616</v>
      </c>
      <c r="I5" s="8">
        <f t="shared" si="1"/>
        <v>-17069.477433419543</v>
      </c>
      <c r="J5" s="8">
        <f t="shared" si="1"/>
        <v>-17041.561756422132</v>
      </c>
      <c r="K5" s="8">
        <f t="shared" si="1"/>
        <v>-17012.808609114792</v>
      </c>
      <c r="L5" s="8">
        <f t="shared" si="1"/>
        <v>-16983.192867388236</v>
      </c>
      <c r="M5" s="8">
        <f t="shared" si="1"/>
        <v>-16952.688653409885</v>
      </c>
    </row>
    <row r="6" spans="1:13" x14ac:dyDescent="0.25">
      <c r="A6" s="2" t="s">
        <v>202</v>
      </c>
      <c r="B6" s="8">
        <f t="shared" ref="B6:M6" si="2">B2+B5</f>
        <v>-17243.400000000001</v>
      </c>
      <c r="C6" s="8">
        <f t="shared" si="2"/>
        <v>-34464.101999999999</v>
      </c>
      <c r="D6" s="8">
        <f t="shared" si="2"/>
        <v>-51661.425060000001</v>
      </c>
      <c r="E6" s="8">
        <f t="shared" si="2"/>
        <v>-68834.667811799998</v>
      </c>
      <c r="F6" s="8">
        <f t="shared" si="2"/>
        <v>-85983.107846154002</v>
      </c>
      <c r="G6" s="8">
        <f t="shared" si="2"/>
        <v>-103106.00108153862</v>
      </c>
      <c r="H6" s="8">
        <f t="shared" si="2"/>
        <v>-120202.58111398478</v>
      </c>
      <c r="I6" s="8">
        <f t="shared" si="2"/>
        <v>-137272.05854740433</v>
      </c>
      <c r="J6" s="8">
        <f t="shared" si="2"/>
        <v>-154313.62030382646</v>
      </c>
      <c r="K6" s="8">
        <f t="shared" si="2"/>
        <v>-171326.42891294125</v>
      </c>
      <c r="L6" s="8">
        <f t="shared" si="2"/>
        <v>-188309.6217803295</v>
      </c>
      <c r="M6" s="8">
        <f t="shared" si="2"/>
        <v>-205262.31043373939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showGridLines="0" workbookViewId="0">
      <pane ySplit="1" topLeftCell="A2" activePane="bottomLeft" state="frozen"/>
      <selection pane="bottomLeft" activeCell="A11" sqref="A11"/>
    </sheetView>
  </sheetViews>
  <sheetFormatPr defaultRowHeight="15" x14ac:dyDescent="0.25"/>
  <cols>
    <col min="1" max="1" width="26.28515625" bestFit="1" customWidth="1"/>
    <col min="2" max="3" width="13" customWidth="1"/>
  </cols>
  <sheetData>
    <row r="1" spans="1:3" x14ac:dyDescent="0.25">
      <c r="A1" s="3" t="s">
        <v>203</v>
      </c>
      <c r="B1" s="3" t="s">
        <v>6</v>
      </c>
      <c r="C1" s="3" t="s">
        <v>204</v>
      </c>
    </row>
    <row r="2" spans="1:3" x14ac:dyDescent="0.25">
      <c r="A2" s="2" t="s">
        <v>205</v>
      </c>
      <c r="B2" s="2">
        <f>COUNTIF(Alunos!G:G,"Ativo")</f>
        <v>5</v>
      </c>
      <c r="C2" s="2" t="s">
        <v>206</v>
      </c>
    </row>
    <row r="3" spans="1:3" x14ac:dyDescent="0.25">
      <c r="A3" s="2" t="s">
        <v>207</v>
      </c>
      <c r="B3" s="4">
        <f>IFERROR(SUM(Alunos!F:F)/B2,0)</f>
        <v>196</v>
      </c>
      <c r="C3" s="2" t="s">
        <v>208</v>
      </c>
    </row>
    <row r="4" spans="1:3" x14ac:dyDescent="0.25">
      <c r="A4" s="2" t="s">
        <v>209</v>
      </c>
      <c r="B4" s="2">
        <f>COUNTIF(Alunos!G:G,"Cancelado")</f>
        <v>1</v>
      </c>
      <c r="C4" s="2" t="s">
        <v>210</v>
      </c>
    </row>
    <row r="5" spans="1:3" x14ac:dyDescent="0.25">
      <c r="A5" s="2" t="s">
        <v>211</v>
      </c>
      <c r="B5" s="5">
        <f>IFERROR(B4/(B2+B4),0)</f>
        <v>0.16666666666666666</v>
      </c>
      <c r="C5" s="2" t="s">
        <v>212</v>
      </c>
    </row>
    <row r="6" spans="1:3" x14ac:dyDescent="0.25">
      <c r="A6" s="2" t="s">
        <v>213</v>
      </c>
      <c r="B6" s="2">
        <f>COUNTA(Leads!B:B)-1</f>
        <v>5</v>
      </c>
      <c r="C6" s="2" t="s">
        <v>214</v>
      </c>
    </row>
    <row r="7" spans="1:3" x14ac:dyDescent="0.25">
      <c r="A7" s="2" t="s">
        <v>215</v>
      </c>
      <c r="B7" s="2">
        <f>COUNTIF(Leads!G:G,"Sim")</f>
        <v>3</v>
      </c>
      <c r="C7" s="2" t="s">
        <v>216</v>
      </c>
    </row>
    <row r="8" spans="1:3" x14ac:dyDescent="0.25">
      <c r="A8" s="2" t="s">
        <v>217</v>
      </c>
      <c r="B8" s="5">
        <f>IFERROR(B7/B6,0)</f>
        <v>0.6</v>
      </c>
      <c r="C8" s="2" t="s">
        <v>218</v>
      </c>
    </row>
    <row r="9" spans="1:3" x14ac:dyDescent="0.25">
      <c r="A9" s="2" t="s">
        <v>219</v>
      </c>
      <c r="B9" s="4">
        <f>IFERROR(SUM(Leads!I:I)/B7,0)</f>
        <v>166.66666666666666</v>
      </c>
      <c r="C9" s="2" t="s">
        <v>220</v>
      </c>
    </row>
    <row r="10" spans="1:3" x14ac:dyDescent="0.25">
      <c r="A10" s="2" t="s">
        <v>221</v>
      </c>
      <c r="B10" s="5">
        <f>IFERROR(B3*Premissas!B7/Premissas!B6,0)</f>
        <v>392000</v>
      </c>
      <c r="C10" s="2" t="s">
        <v>222</v>
      </c>
    </row>
    <row r="11" spans="1:3" x14ac:dyDescent="0.25">
      <c r="A11" s="2" t="s">
        <v>223</v>
      </c>
      <c r="B11" s="4">
        <f>SUM(Receitas!G:G)</f>
        <v>1060</v>
      </c>
      <c r="C11" s="2" t="s">
        <v>224</v>
      </c>
    </row>
    <row r="12" spans="1:3" x14ac:dyDescent="0.25">
      <c r="A12" s="2" t="s">
        <v>225</v>
      </c>
      <c r="B12" s="5">
        <f>IFERROR(DRE_12M!B6/DRE_12M!B4,0)</f>
        <v>0.65</v>
      </c>
      <c r="C12" s="2" t="s">
        <v>226</v>
      </c>
    </row>
    <row r="13" spans="1:3" x14ac:dyDescent="0.25">
      <c r="A13" s="2" t="s">
        <v>227</v>
      </c>
      <c r="B13" s="4">
        <f>IFERROR(Premissas!B10/B12,0)</f>
        <v>27692.307692307691</v>
      </c>
      <c r="C13" s="2" t="s">
        <v>228</v>
      </c>
    </row>
    <row r="14" spans="1:3" x14ac:dyDescent="0.25">
      <c r="A14" s="2" t="s">
        <v>229</v>
      </c>
      <c r="B14" s="5">
        <f>AVERAGE(Turmas!I:I)</f>
        <v>0.71439393939393947</v>
      </c>
      <c r="C14" s="2" t="s">
        <v>230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6" width="13" customWidth="1"/>
  </cols>
  <sheetData>
    <row r="1" spans="1:6" x14ac:dyDescent="0.25">
      <c r="A1" s="3" t="s">
        <v>36</v>
      </c>
      <c r="B1" s="3" t="s">
        <v>231</v>
      </c>
      <c r="C1" s="3" t="s">
        <v>232</v>
      </c>
      <c r="D1" s="3" t="s">
        <v>233</v>
      </c>
      <c r="E1" s="3" t="s">
        <v>234</v>
      </c>
      <c r="F1" s="3" t="s">
        <v>235</v>
      </c>
    </row>
    <row r="2" spans="1:6" x14ac:dyDescent="0.25">
      <c r="A2" s="2" t="s">
        <v>45</v>
      </c>
      <c r="B2" s="2">
        <f>COUNTIF(Alunos!C:C,A2)</f>
        <v>2</v>
      </c>
      <c r="C2" s="8">
        <f>SUMIF(Alunos!C:C,A2,Alunos!F:F)</f>
        <v>300</v>
      </c>
      <c r="D2" s="8">
        <f>SUMIF(Turmas!B:B,A2,Turmas!J:J)</f>
        <v>13500</v>
      </c>
      <c r="E2" s="8">
        <f t="shared" ref="E2:E7" si="0">C2-D2</f>
        <v>-13200</v>
      </c>
      <c r="F2" s="7">
        <f t="shared" ref="F2:F7" si="1">IFERROR(E2/C2,0)</f>
        <v>-44</v>
      </c>
    </row>
    <row r="3" spans="1:6" x14ac:dyDescent="0.25">
      <c r="A3" s="2" t="s">
        <v>51</v>
      </c>
      <c r="B3" s="2">
        <f>COUNTIF(Alunos!C:C,A3)</f>
        <v>1</v>
      </c>
      <c r="C3" s="8">
        <f>SUMIF(Alunos!C:C,A3,Alunos!F:F)</f>
        <v>190</v>
      </c>
      <c r="D3" s="8">
        <f>SUMIF(Turmas!B:B,A3,Turmas!J:J)</f>
        <v>1440</v>
      </c>
      <c r="E3" s="8">
        <f t="shared" si="0"/>
        <v>-1250</v>
      </c>
      <c r="F3" s="7">
        <f t="shared" si="1"/>
        <v>-6.5789473684210522</v>
      </c>
    </row>
    <row r="4" spans="1:6" x14ac:dyDescent="0.25">
      <c r="A4" s="2" t="s">
        <v>56</v>
      </c>
      <c r="B4" s="2">
        <f>COUNTIF(Alunos!C:C,A4)</f>
        <v>1</v>
      </c>
      <c r="C4" s="8">
        <f>SUMIF(Alunos!C:C,A4,Alunos!F:F)</f>
        <v>220</v>
      </c>
      <c r="D4" s="8">
        <f>SUMIF(Turmas!B:B,A4,Turmas!J:J)</f>
        <v>960</v>
      </c>
      <c r="E4" s="8">
        <f t="shared" si="0"/>
        <v>-740</v>
      </c>
      <c r="F4" s="7">
        <f t="shared" si="1"/>
        <v>-3.3636363636363638</v>
      </c>
    </row>
    <row r="5" spans="1:6" x14ac:dyDescent="0.25">
      <c r="A5" s="2" t="s">
        <v>64</v>
      </c>
      <c r="B5" s="2">
        <f>COUNTIF(Alunos!C:C,A5)</f>
        <v>1</v>
      </c>
      <c r="C5" s="8">
        <f>SUMIF(Alunos!C:C,A5,Alunos!F:F)</f>
        <v>130</v>
      </c>
      <c r="D5" s="8">
        <f>SUMIF(Turmas!B:B,A5,Turmas!J:J)</f>
        <v>400</v>
      </c>
      <c r="E5" s="8">
        <f t="shared" si="0"/>
        <v>-270</v>
      </c>
      <c r="F5" s="7">
        <f t="shared" si="1"/>
        <v>-2.0769230769230771</v>
      </c>
    </row>
    <row r="6" spans="1:6" x14ac:dyDescent="0.25">
      <c r="A6" s="2" t="s">
        <v>107</v>
      </c>
      <c r="B6" s="2">
        <f>COUNTIF(Alunos!C:C,A6)</f>
        <v>0</v>
      </c>
      <c r="C6" s="8">
        <f>SUMIF(Alunos!C:C,A6,Alunos!F:F)</f>
        <v>0</v>
      </c>
      <c r="D6" s="8">
        <f>SUMIF(Turmas!B:B,A6,Turmas!J:J)</f>
        <v>240</v>
      </c>
      <c r="E6" s="8">
        <f t="shared" si="0"/>
        <v>-240</v>
      </c>
      <c r="F6" s="7">
        <f t="shared" si="1"/>
        <v>0</v>
      </c>
    </row>
    <row r="7" spans="1:6" x14ac:dyDescent="0.25">
      <c r="A7" s="2" t="s">
        <v>61</v>
      </c>
      <c r="B7" s="2">
        <f>COUNTIF(Alunos!C:C,A7)</f>
        <v>1</v>
      </c>
      <c r="C7" s="8">
        <f>SUMIF(Alunos!C:C,A7,Alunos!F:F)</f>
        <v>140</v>
      </c>
      <c r="D7" s="8">
        <f>SUMIF(Turmas!B:B,A7,Turmas!J:J)</f>
        <v>240</v>
      </c>
      <c r="E7" s="8">
        <f t="shared" si="0"/>
        <v>-100</v>
      </c>
      <c r="F7" s="7">
        <f t="shared" si="1"/>
        <v>-0.7142857142857143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6" width="13" customWidth="1"/>
  </cols>
  <sheetData>
    <row r="1" spans="1:6" x14ac:dyDescent="0.25">
      <c r="A1" s="3" t="s">
        <v>72</v>
      </c>
      <c r="B1" s="3" t="s">
        <v>74</v>
      </c>
      <c r="C1" s="3" t="s">
        <v>75</v>
      </c>
      <c r="D1" s="3" t="s">
        <v>77</v>
      </c>
      <c r="E1" s="3" t="s">
        <v>76</v>
      </c>
      <c r="F1" s="3" t="s">
        <v>40</v>
      </c>
    </row>
    <row r="2" spans="1:6" x14ac:dyDescent="0.25">
      <c r="A2" s="2" t="s">
        <v>83</v>
      </c>
      <c r="B2" s="2">
        <v>8</v>
      </c>
      <c r="C2" s="2">
        <v>7</v>
      </c>
      <c r="D2" s="7">
        <f t="shared" ref="D2:D9" si="0">IFERROR(C2/B2,0)</f>
        <v>0.875</v>
      </c>
      <c r="E2" s="2">
        <v>6.2</v>
      </c>
      <c r="F2" s="2" t="str">
        <f t="shared" ref="F2:F9" si="1">IF(D2&gt;=0.8,"Alta",IF(D2&gt;=0.5,"Média","Baixa"))</f>
        <v>Alta</v>
      </c>
    </row>
    <row r="3" spans="1:6" x14ac:dyDescent="0.25">
      <c r="A3" s="2" t="s">
        <v>86</v>
      </c>
      <c r="B3" s="2">
        <v>8</v>
      </c>
      <c r="C3" s="2">
        <v>6</v>
      </c>
      <c r="D3" s="7">
        <f t="shared" si="0"/>
        <v>0.75</v>
      </c>
      <c r="E3" s="2">
        <v>5</v>
      </c>
      <c r="F3" s="2" t="str">
        <f t="shared" si="1"/>
        <v>Média</v>
      </c>
    </row>
    <row r="4" spans="1:6" x14ac:dyDescent="0.25">
      <c r="A4" s="2" t="s">
        <v>236</v>
      </c>
      <c r="B4" s="2">
        <v>0</v>
      </c>
      <c r="C4" s="2">
        <v>0</v>
      </c>
      <c r="D4" s="7">
        <f t="shared" si="0"/>
        <v>0</v>
      </c>
      <c r="E4" s="2">
        <v>0</v>
      </c>
      <c r="F4" s="2" t="str">
        <f t="shared" si="1"/>
        <v>Baixa</v>
      </c>
    </row>
    <row r="5" spans="1:6" x14ac:dyDescent="0.25">
      <c r="A5" s="2" t="s">
        <v>237</v>
      </c>
      <c r="B5" s="2">
        <v>0</v>
      </c>
      <c r="C5" s="2">
        <v>0</v>
      </c>
      <c r="D5" s="7">
        <f t="shared" si="0"/>
        <v>0</v>
      </c>
      <c r="E5" s="2">
        <v>0</v>
      </c>
      <c r="F5" s="2" t="str">
        <f t="shared" si="1"/>
        <v>Baixa</v>
      </c>
    </row>
    <row r="6" spans="1:6" x14ac:dyDescent="0.25">
      <c r="A6" s="2" t="s">
        <v>238</v>
      </c>
      <c r="B6" s="2">
        <v>0</v>
      </c>
      <c r="C6" s="2">
        <v>0</v>
      </c>
      <c r="D6" s="7">
        <f t="shared" si="0"/>
        <v>0</v>
      </c>
      <c r="E6" s="2">
        <v>0</v>
      </c>
      <c r="F6" s="2" t="str">
        <f t="shared" si="1"/>
        <v>Baixa</v>
      </c>
    </row>
    <row r="7" spans="1:6" x14ac:dyDescent="0.25">
      <c r="A7" s="2" t="s">
        <v>239</v>
      </c>
      <c r="B7" s="2">
        <v>0</v>
      </c>
      <c r="C7" s="2">
        <v>0</v>
      </c>
      <c r="D7" s="7">
        <f t="shared" si="0"/>
        <v>0</v>
      </c>
      <c r="E7" s="2">
        <v>0</v>
      </c>
      <c r="F7" s="2" t="str">
        <f t="shared" si="1"/>
        <v>Baixa</v>
      </c>
    </row>
    <row r="8" spans="1:6" x14ac:dyDescent="0.25">
      <c r="A8" s="2" t="s">
        <v>88</v>
      </c>
      <c r="B8" s="2">
        <v>28</v>
      </c>
      <c r="C8" s="2">
        <v>26</v>
      </c>
      <c r="D8" s="7">
        <f t="shared" si="0"/>
        <v>0.9285714285714286</v>
      </c>
      <c r="E8" s="2">
        <v>22</v>
      </c>
      <c r="F8" s="2" t="str">
        <f t="shared" si="1"/>
        <v>Alta</v>
      </c>
    </row>
    <row r="9" spans="1:6" x14ac:dyDescent="0.25">
      <c r="A9" s="2" t="s">
        <v>240</v>
      </c>
      <c r="B9" s="2">
        <v>40</v>
      </c>
      <c r="C9" s="2">
        <v>33</v>
      </c>
      <c r="D9" s="7">
        <f t="shared" si="0"/>
        <v>0.82499999999999996</v>
      </c>
      <c r="E9" s="2">
        <v>27</v>
      </c>
      <c r="F9" s="2" t="str">
        <f t="shared" si="1"/>
        <v>Alta</v>
      </c>
    </row>
  </sheetData>
  <conditionalFormatting sqref="D2:D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7" width="13" customWidth="1"/>
  </cols>
  <sheetData>
    <row r="1" spans="1:7" x14ac:dyDescent="0.25">
      <c r="A1" s="3" t="s">
        <v>120</v>
      </c>
      <c r="B1" s="3" t="s">
        <v>241</v>
      </c>
      <c r="C1" s="3" t="s">
        <v>242</v>
      </c>
      <c r="D1" s="3" t="s">
        <v>209</v>
      </c>
      <c r="E1" s="3" t="s">
        <v>243</v>
      </c>
      <c r="F1" s="3" t="s">
        <v>244</v>
      </c>
      <c r="G1" s="3" t="s">
        <v>245</v>
      </c>
    </row>
    <row r="2" spans="1:7" x14ac:dyDescent="0.25">
      <c r="A2" s="2" t="s">
        <v>177</v>
      </c>
      <c r="B2" s="2">
        <v>100</v>
      </c>
      <c r="C2" s="2">
        <v>5</v>
      </c>
      <c r="D2" s="2">
        <v>3</v>
      </c>
      <c r="E2" s="2">
        <f t="shared" ref="E2:E13" si="0">B2+C2-D2</f>
        <v>102</v>
      </c>
      <c r="F2" s="5">
        <f t="shared" ref="F2:F13" si="1">IFERROR(D2/B2,0)</f>
        <v>0.03</v>
      </c>
      <c r="G2" s="5">
        <f t="shared" ref="G2:G13" si="2">1-F2</f>
        <v>0.97</v>
      </c>
    </row>
    <row r="3" spans="1:7" x14ac:dyDescent="0.25">
      <c r="A3" s="2" t="s">
        <v>178</v>
      </c>
      <c r="B3" s="2">
        <f t="shared" ref="B3:B13" si="3">E2</f>
        <v>102</v>
      </c>
      <c r="C3" s="2">
        <v>5</v>
      </c>
      <c r="D3" s="2">
        <v>3</v>
      </c>
      <c r="E3" s="2">
        <f t="shared" si="0"/>
        <v>104</v>
      </c>
      <c r="F3" s="5">
        <f t="shared" si="1"/>
        <v>2.9411764705882353E-2</v>
      </c>
      <c r="G3" s="5">
        <f t="shared" si="2"/>
        <v>0.97058823529411764</v>
      </c>
    </row>
    <row r="4" spans="1:7" x14ac:dyDescent="0.25">
      <c r="A4" s="2" t="s">
        <v>179</v>
      </c>
      <c r="B4" s="2">
        <f t="shared" si="3"/>
        <v>104</v>
      </c>
      <c r="C4" s="2">
        <v>5</v>
      </c>
      <c r="D4" s="2">
        <v>3</v>
      </c>
      <c r="E4" s="2">
        <f t="shared" si="0"/>
        <v>106</v>
      </c>
      <c r="F4" s="5">
        <f t="shared" si="1"/>
        <v>2.8846153846153848E-2</v>
      </c>
      <c r="G4" s="5">
        <f t="shared" si="2"/>
        <v>0.97115384615384615</v>
      </c>
    </row>
    <row r="5" spans="1:7" x14ac:dyDescent="0.25">
      <c r="A5" s="2" t="s">
        <v>180</v>
      </c>
      <c r="B5" s="2">
        <f t="shared" si="3"/>
        <v>106</v>
      </c>
      <c r="C5" s="2">
        <v>5</v>
      </c>
      <c r="D5" s="2">
        <v>3</v>
      </c>
      <c r="E5" s="2">
        <f t="shared" si="0"/>
        <v>108</v>
      </c>
      <c r="F5" s="5">
        <f t="shared" si="1"/>
        <v>2.8301886792452831E-2</v>
      </c>
      <c r="G5" s="5">
        <f t="shared" si="2"/>
        <v>0.97169811320754718</v>
      </c>
    </row>
    <row r="6" spans="1:7" x14ac:dyDescent="0.25">
      <c r="A6" s="2" t="s">
        <v>181</v>
      </c>
      <c r="B6" s="2">
        <f t="shared" si="3"/>
        <v>108</v>
      </c>
      <c r="C6" s="2">
        <v>5</v>
      </c>
      <c r="D6" s="2">
        <v>3</v>
      </c>
      <c r="E6" s="2">
        <f t="shared" si="0"/>
        <v>110</v>
      </c>
      <c r="F6" s="5">
        <f t="shared" si="1"/>
        <v>2.7777777777777776E-2</v>
      </c>
      <c r="G6" s="5">
        <f t="shared" si="2"/>
        <v>0.97222222222222221</v>
      </c>
    </row>
    <row r="7" spans="1:7" x14ac:dyDescent="0.25">
      <c r="A7" s="2" t="s">
        <v>182</v>
      </c>
      <c r="B7" s="2">
        <f t="shared" si="3"/>
        <v>110</v>
      </c>
      <c r="C7" s="2">
        <v>5</v>
      </c>
      <c r="D7" s="2">
        <v>3</v>
      </c>
      <c r="E7" s="2">
        <f t="shared" si="0"/>
        <v>112</v>
      </c>
      <c r="F7" s="5">
        <f t="shared" si="1"/>
        <v>2.7272727272727271E-2</v>
      </c>
      <c r="G7" s="5">
        <f t="shared" si="2"/>
        <v>0.97272727272727277</v>
      </c>
    </row>
    <row r="8" spans="1:7" x14ac:dyDescent="0.25">
      <c r="A8" s="2" t="s">
        <v>183</v>
      </c>
      <c r="B8" s="2">
        <f t="shared" si="3"/>
        <v>112</v>
      </c>
      <c r="C8" s="2">
        <v>5</v>
      </c>
      <c r="D8" s="2">
        <v>3</v>
      </c>
      <c r="E8" s="2">
        <f t="shared" si="0"/>
        <v>114</v>
      </c>
      <c r="F8" s="5">
        <f t="shared" si="1"/>
        <v>2.6785714285714284E-2</v>
      </c>
      <c r="G8" s="5">
        <f t="shared" si="2"/>
        <v>0.9732142857142857</v>
      </c>
    </row>
    <row r="9" spans="1:7" x14ac:dyDescent="0.25">
      <c r="A9" s="2" t="s">
        <v>184</v>
      </c>
      <c r="B9" s="2">
        <f t="shared" si="3"/>
        <v>114</v>
      </c>
      <c r="C9" s="2">
        <v>5</v>
      </c>
      <c r="D9" s="2">
        <v>3</v>
      </c>
      <c r="E9" s="2">
        <f t="shared" si="0"/>
        <v>116</v>
      </c>
      <c r="F9" s="5">
        <f t="shared" si="1"/>
        <v>2.6315789473684209E-2</v>
      </c>
      <c r="G9" s="5">
        <f t="shared" si="2"/>
        <v>0.97368421052631582</v>
      </c>
    </row>
    <row r="10" spans="1:7" x14ac:dyDescent="0.25">
      <c r="A10" s="2" t="s">
        <v>185</v>
      </c>
      <c r="B10" s="2">
        <f t="shared" si="3"/>
        <v>116</v>
      </c>
      <c r="C10" s="2">
        <v>5</v>
      </c>
      <c r="D10" s="2">
        <v>3</v>
      </c>
      <c r="E10" s="2">
        <f t="shared" si="0"/>
        <v>118</v>
      </c>
      <c r="F10" s="5">
        <f t="shared" si="1"/>
        <v>2.5862068965517241E-2</v>
      </c>
      <c r="G10" s="5">
        <f t="shared" si="2"/>
        <v>0.97413793103448276</v>
      </c>
    </row>
    <row r="11" spans="1:7" x14ac:dyDescent="0.25">
      <c r="A11" s="2" t="s">
        <v>186</v>
      </c>
      <c r="B11" s="2">
        <f t="shared" si="3"/>
        <v>118</v>
      </c>
      <c r="C11" s="2">
        <v>5</v>
      </c>
      <c r="D11" s="2">
        <v>3</v>
      </c>
      <c r="E11" s="2">
        <f t="shared" si="0"/>
        <v>120</v>
      </c>
      <c r="F11" s="5">
        <f t="shared" si="1"/>
        <v>2.5423728813559324E-2</v>
      </c>
      <c r="G11" s="5">
        <f t="shared" si="2"/>
        <v>0.97457627118644063</v>
      </c>
    </row>
    <row r="12" spans="1:7" x14ac:dyDescent="0.25">
      <c r="A12" s="2" t="s">
        <v>187</v>
      </c>
      <c r="B12" s="2">
        <f t="shared" si="3"/>
        <v>120</v>
      </c>
      <c r="C12" s="2">
        <v>5</v>
      </c>
      <c r="D12" s="2">
        <v>3</v>
      </c>
      <c r="E12" s="2">
        <f t="shared" si="0"/>
        <v>122</v>
      </c>
      <c r="F12" s="5">
        <f t="shared" si="1"/>
        <v>2.5000000000000001E-2</v>
      </c>
      <c r="G12" s="5">
        <f t="shared" si="2"/>
        <v>0.97499999999999998</v>
      </c>
    </row>
    <row r="13" spans="1:7" x14ac:dyDescent="0.25">
      <c r="A13" s="2" t="s">
        <v>188</v>
      </c>
      <c r="B13" s="2">
        <f t="shared" si="3"/>
        <v>122</v>
      </c>
      <c r="C13" s="2">
        <v>5</v>
      </c>
      <c r="D13" s="2">
        <v>3</v>
      </c>
      <c r="E13" s="2">
        <f t="shared" si="0"/>
        <v>124</v>
      </c>
      <c r="F13" s="5">
        <f t="shared" si="1"/>
        <v>2.4590163934426229E-2</v>
      </c>
      <c r="G13" s="5">
        <f t="shared" si="2"/>
        <v>0.97540983606557374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5" width="13" customWidth="1"/>
  </cols>
  <sheetData>
    <row r="1" spans="1:5" x14ac:dyDescent="0.25">
      <c r="A1" s="3" t="s">
        <v>120</v>
      </c>
      <c r="B1" s="3" t="s">
        <v>246</v>
      </c>
      <c r="C1" s="3" t="s">
        <v>247</v>
      </c>
      <c r="D1" s="3" t="s">
        <v>248</v>
      </c>
      <c r="E1" s="3" t="s">
        <v>249</v>
      </c>
    </row>
    <row r="2" spans="1:5" x14ac:dyDescent="0.25">
      <c r="A2" s="2" t="s">
        <v>177</v>
      </c>
      <c r="B2" s="2">
        <f>Indicadores!B2</f>
        <v>5</v>
      </c>
      <c r="C2" s="8">
        <f>Indicadores!B3</f>
        <v>196</v>
      </c>
      <c r="D2" s="8">
        <f t="shared" ref="D2:D13" si="0">B2*C2</f>
        <v>980</v>
      </c>
      <c r="E2" s="8">
        <f>D2</f>
        <v>980</v>
      </c>
    </row>
    <row r="3" spans="1:5" x14ac:dyDescent="0.25">
      <c r="A3" s="2" t="s">
        <v>178</v>
      </c>
      <c r="B3" s="2">
        <f>B2*(1+Premissas!$B$9)</f>
        <v>5.15</v>
      </c>
      <c r="C3" s="8">
        <f>Indicadores!B3</f>
        <v>196</v>
      </c>
      <c r="D3" s="8">
        <f t="shared" si="0"/>
        <v>1009.4000000000001</v>
      </c>
      <c r="E3" s="8">
        <f t="shared" ref="E3:E13" si="1">E2+D3</f>
        <v>1989.4</v>
      </c>
    </row>
    <row r="4" spans="1:5" x14ac:dyDescent="0.25">
      <c r="A4" s="2" t="s">
        <v>179</v>
      </c>
      <c r="B4" s="2">
        <f>B3*(1+Premissas!$B$9)</f>
        <v>5.3045000000000009</v>
      </c>
      <c r="C4" s="8">
        <f>Indicadores!B3</f>
        <v>196</v>
      </c>
      <c r="D4" s="8">
        <f t="shared" si="0"/>
        <v>1039.6820000000002</v>
      </c>
      <c r="E4" s="8">
        <f t="shared" si="1"/>
        <v>3029.0820000000003</v>
      </c>
    </row>
    <row r="5" spans="1:5" x14ac:dyDescent="0.25">
      <c r="A5" s="2" t="s">
        <v>180</v>
      </c>
      <c r="B5" s="2">
        <f>B4*(1+Premissas!$B$9)</f>
        <v>5.4636350000000009</v>
      </c>
      <c r="C5" s="8">
        <f>Indicadores!B3</f>
        <v>196</v>
      </c>
      <c r="D5" s="8">
        <f t="shared" si="0"/>
        <v>1070.8724600000003</v>
      </c>
      <c r="E5" s="8">
        <f t="shared" si="1"/>
        <v>4099.9544600000008</v>
      </c>
    </row>
    <row r="6" spans="1:5" x14ac:dyDescent="0.25">
      <c r="A6" s="2" t="s">
        <v>181</v>
      </c>
      <c r="B6" s="2">
        <f>B5*(1+Premissas!$B$9)</f>
        <v>5.6275440500000009</v>
      </c>
      <c r="C6" s="8">
        <f>Indicadores!B3</f>
        <v>196</v>
      </c>
      <c r="D6" s="8">
        <f t="shared" si="0"/>
        <v>1102.9986338000001</v>
      </c>
      <c r="E6" s="8">
        <f t="shared" si="1"/>
        <v>5202.9530938000007</v>
      </c>
    </row>
    <row r="7" spans="1:5" x14ac:dyDescent="0.25">
      <c r="A7" s="2" t="s">
        <v>182</v>
      </c>
      <c r="B7" s="2">
        <f>B6*(1+Premissas!$B$9)</f>
        <v>5.796370371500001</v>
      </c>
      <c r="C7" s="8">
        <f>Indicadores!B3</f>
        <v>196</v>
      </c>
      <c r="D7" s="8">
        <f t="shared" si="0"/>
        <v>1136.0885928140001</v>
      </c>
      <c r="E7" s="8">
        <f t="shared" si="1"/>
        <v>6339.0416866140004</v>
      </c>
    </row>
    <row r="8" spans="1:5" x14ac:dyDescent="0.25">
      <c r="A8" s="2" t="s">
        <v>183</v>
      </c>
      <c r="B8" s="2">
        <f>B7*(1+Premissas!$B$9)</f>
        <v>5.9702614826450011</v>
      </c>
      <c r="C8" s="8">
        <f>Indicadores!B3</f>
        <v>196</v>
      </c>
      <c r="D8" s="8">
        <f t="shared" si="0"/>
        <v>1170.1712505984203</v>
      </c>
      <c r="E8" s="8">
        <f t="shared" si="1"/>
        <v>7509.2129372124209</v>
      </c>
    </row>
    <row r="9" spans="1:5" x14ac:dyDescent="0.25">
      <c r="A9" s="2" t="s">
        <v>184</v>
      </c>
      <c r="B9" s="2">
        <f>B8*(1+Premissas!$B$9)</f>
        <v>6.1493693271243517</v>
      </c>
      <c r="C9" s="8">
        <f>Indicadores!B3</f>
        <v>196</v>
      </c>
      <c r="D9" s="8">
        <f t="shared" si="0"/>
        <v>1205.276388116373</v>
      </c>
      <c r="E9" s="8">
        <f t="shared" si="1"/>
        <v>8714.4893253287937</v>
      </c>
    </row>
    <row r="10" spans="1:5" x14ac:dyDescent="0.25">
      <c r="A10" s="2" t="s">
        <v>185</v>
      </c>
      <c r="B10" s="2">
        <f>B9*(1+Premissas!$B$9)</f>
        <v>6.3338504069380823</v>
      </c>
      <c r="C10" s="8">
        <f>Indicadores!B3</f>
        <v>196</v>
      </c>
      <c r="D10" s="8">
        <f t="shared" si="0"/>
        <v>1241.4346797598641</v>
      </c>
      <c r="E10" s="8">
        <f t="shared" si="1"/>
        <v>9955.9240050886583</v>
      </c>
    </row>
    <row r="11" spans="1:5" x14ac:dyDescent="0.25">
      <c r="A11" s="2" t="s">
        <v>186</v>
      </c>
      <c r="B11" s="2">
        <f>B10*(1+Premissas!$B$9)</f>
        <v>6.5238659191462247</v>
      </c>
      <c r="C11" s="8">
        <f>Indicadores!B3</f>
        <v>196</v>
      </c>
      <c r="D11" s="8">
        <f t="shared" si="0"/>
        <v>1278.67772015266</v>
      </c>
      <c r="E11" s="8">
        <f t="shared" si="1"/>
        <v>11234.601725241318</v>
      </c>
    </row>
    <row r="12" spans="1:5" x14ac:dyDescent="0.25">
      <c r="A12" s="2" t="s">
        <v>187</v>
      </c>
      <c r="B12" s="2">
        <f>B11*(1+Premissas!$B$9)</f>
        <v>6.7195818967206113</v>
      </c>
      <c r="C12" s="8">
        <f>Indicadores!B3</f>
        <v>196</v>
      </c>
      <c r="D12" s="8">
        <f t="shared" si="0"/>
        <v>1317.0380517572398</v>
      </c>
      <c r="E12" s="8">
        <f t="shared" si="1"/>
        <v>12551.639776998558</v>
      </c>
    </row>
    <row r="13" spans="1:5" x14ac:dyDescent="0.25">
      <c r="A13" s="2" t="s">
        <v>188</v>
      </c>
      <c r="B13" s="2">
        <f>B12*(1+Premissas!$B$9)</f>
        <v>6.9211693536222301</v>
      </c>
      <c r="C13" s="8">
        <f>Indicadores!B3</f>
        <v>196</v>
      </c>
      <c r="D13" s="8">
        <f t="shared" si="0"/>
        <v>1356.549193309957</v>
      </c>
      <c r="E13" s="8">
        <f t="shared" si="1"/>
        <v>13908.188970308514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showGridLines="0" workbookViewId="0"/>
  </sheetViews>
  <sheetFormatPr defaultRowHeight="15" x14ac:dyDescent="0.25"/>
  <cols>
    <col min="1" max="12" width="16" customWidth="1"/>
  </cols>
  <sheetData>
    <row r="1" spans="1:12" ht="26.25" x14ac:dyDescent="0.25">
      <c r="A1" s="16" t="s">
        <v>250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10" t="s">
        <v>251</v>
      </c>
      <c r="B3" s="11"/>
      <c r="C3" s="10" t="s">
        <v>252</v>
      </c>
      <c r="D3" s="11"/>
      <c r="E3" s="10" t="s">
        <v>253</v>
      </c>
      <c r="F3" s="11"/>
      <c r="G3" s="10" t="s">
        <v>254</v>
      </c>
      <c r="H3" s="11"/>
      <c r="I3" s="10" t="s">
        <v>164</v>
      </c>
      <c r="J3" s="11"/>
      <c r="K3" s="10" t="s">
        <v>255</v>
      </c>
      <c r="L3" s="11"/>
    </row>
    <row r="4" spans="1:12" ht="19.5" x14ac:dyDescent="0.25">
      <c r="A4" s="14">
        <f>Indicadores!B2</f>
        <v>5</v>
      </c>
      <c r="B4" s="11"/>
      <c r="C4" s="12">
        <f>Indicadores!B11</f>
        <v>1060</v>
      </c>
      <c r="D4" s="11"/>
      <c r="E4" s="12">
        <f>Indicadores!B3</f>
        <v>196</v>
      </c>
      <c r="F4" s="11"/>
      <c r="G4" s="13">
        <f>Indicadores!B5</f>
        <v>0.16666666666666666</v>
      </c>
      <c r="H4" s="11"/>
      <c r="I4" s="12">
        <f>Indicadores!B9</f>
        <v>166.66666666666666</v>
      </c>
      <c r="J4" s="11"/>
      <c r="K4" s="12">
        <f>Indicadores!B10</f>
        <v>392000</v>
      </c>
      <c r="L4" s="11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10" t="s">
        <v>256</v>
      </c>
      <c r="B6" s="11"/>
      <c r="C6" s="10" t="s">
        <v>257</v>
      </c>
      <c r="D6" s="11"/>
      <c r="E6" s="10" t="s">
        <v>258</v>
      </c>
      <c r="F6" s="11"/>
      <c r="G6" s="10" t="s">
        <v>259</v>
      </c>
      <c r="H6" s="11"/>
      <c r="I6" s="10" t="s">
        <v>260</v>
      </c>
      <c r="J6" s="11"/>
      <c r="K6" s="10" t="s">
        <v>261</v>
      </c>
      <c r="L6" s="11"/>
    </row>
    <row r="7" spans="1:12" ht="19.5" x14ac:dyDescent="0.25">
      <c r="A7" s="13">
        <f>Indicadores!B12</f>
        <v>0.65</v>
      </c>
      <c r="B7" s="11"/>
      <c r="C7" s="12">
        <f>Indicadores!B13</f>
        <v>27692.307692307691</v>
      </c>
      <c r="D7" s="11"/>
      <c r="E7" s="13">
        <f>Indicadores!B14</f>
        <v>0.71439393939393947</v>
      </c>
      <c r="F7" s="11"/>
      <c r="G7" s="14">
        <f>Indicadores!B7</f>
        <v>3</v>
      </c>
      <c r="H7" s="11"/>
      <c r="I7" s="13">
        <f>Indicadores!B8</f>
        <v>0.6</v>
      </c>
      <c r="J7" s="11"/>
      <c r="K7" s="15">
        <f>Indicadores!B4</f>
        <v>1</v>
      </c>
      <c r="L7" s="11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8.75" x14ac:dyDescent="0.25">
      <c r="A10" s="9" t="s">
        <v>262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</sheetData>
  <mergeCells count="25">
    <mergeCell ref="A1:L1"/>
    <mergeCell ref="K4:L4"/>
    <mergeCell ref="C3:D3"/>
    <mergeCell ref="E3:F3"/>
    <mergeCell ref="K3:L3"/>
    <mergeCell ref="K6:L6"/>
    <mergeCell ref="A4:B4"/>
    <mergeCell ref="G4:H4"/>
    <mergeCell ref="K7:L7"/>
    <mergeCell ref="I4:J4"/>
    <mergeCell ref="C7:D7"/>
    <mergeCell ref="E7:F7"/>
    <mergeCell ref="A7:B7"/>
    <mergeCell ref="G7:H7"/>
    <mergeCell ref="I7:J7"/>
    <mergeCell ref="G6:H6"/>
    <mergeCell ref="A3:B3"/>
    <mergeCell ref="G3:H3"/>
    <mergeCell ref="I3:J3"/>
    <mergeCell ref="E6:F6"/>
    <mergeCell ref="C6:D6"/>
    <mergeCell ref="I6:J6"/>
    <mergeCell ref="A6:B6"/>
    <mergeCell ref="C4:D4"/>
    <mergeCell ref="E4:F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Leia-me</vt:lpstr>
      <vt:lpstr>Premissas</vt:lpstr>
      <vt:lpstr>Alunos</vt:lpstr>
      <vt:lpstr>Turmas</vt:lpstr>
      <vt:lpstr>Receitas</vt:lpstr>
      <vt:lpstr>Despesas</vt:lpstr>
      <vt:lpstr>Leads</vt:lpstr>
      <vt:lpstr>DRE_12M</vt:lpstr>
      <vt:lpstr>Fluxo_Caixa_12M</vt:lpstr>
      <vt:lpstr>Indicadores</vt:lpstr>
      <vt:lpstr>Margem_Modalidades</vt:lpstr>
      <vt:lpstr>Ocupacao_Horarios</vt:lpstr>
      <vt:lpstr>Churn_Cancelamentos</vt:lpstr>
      <vt:lpstr>Projecao_Faturamento</vt:lpstr>
      <vt:lpstr>Dashboard_Executivo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Batista Ribeiro Júnior - Normatel</cp:lastModifiedBy>
  <dcterms:created xsi:type="dcterms:W3CDTF">2026-09-28T13:39:46Z</dcterms:created>
  <dcterms:modified xsi:type="dcterms:W3CDTF">2026-09-29T16:32:35Z</dcterms:modified>
</cp:coreProperties>
</file>